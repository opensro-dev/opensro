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1.xml" ContentType="application/vnd.openxmlformats-officedocument.spreadsheetml.comments+xml"/>
  <Override PartName="/xl/worksheets/sheet5.xml" ContentType="application/vnd.openxmlformats-officedocument.spreadsheetml.worksheet+xml"/>
  <Override PartName="/xl/comments2.xml" ContentType="application/vnd.openxmlformats-officedocument.spreadsheetml.comments+xml"/>
  <Override PartName="/xl/worksheets/sheet6.xml" ContentType="application/vnd.openxmlformats-officedocument.spreadsheetml.worksheet+xml"/>
  <Override PartName="/xl/comments3.xml" ContentType="application/vnd.openxmlformats-officedocument.spreadsheetml.comments+xml"/>
  <Override PartName="/xl/worksheets/sheet7.xml" ContentType="application/vnd.openxmlformats-officedocument.spreadsheetml.worksheet+xml"/>
  <Override PartName="/xl/comments4.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6a085265790541d7" /></Relationships>
</file>

<file path=xl/workbook.xml><?xml version="1.0" encoding="utf-8"?>
<x:workbook xmlns:x="http://schemas.openxmlformats.org/spreadsheetml/2006/main">
  <x:sheets>
    <x:sheet xmlns:r="http://schemas.openxmlformats.org/officeDocument/2006/relationships" name="Read me" sheetId="1" r:id="R6c09fb81bbca4366"/>
    <x:sheet xmlns:r="http://schemas.openxmlformats.org/officeDocument/2006/relationships" name="Rules" sheetId="2" r:id="Rd5856b10275c4124"/>
    <x:sheet xmlns:r="http://schemas.openxmlformats.org/officeDocument/2006/relationships" name="Pets" sheetId="3" r:id="R76b6fe5bdc214f6b"/>
    <x:sheet xmlns:r="http://schemas.openxmlformats.org/officeDocument/2006/relationships" name="Skills" sheetId="4" r:id="Rccf85831b4e7403d"/>
    <x:sheet xmlns:r="http://schemas.openxmlformats.org/officeDocument/2006/relationships" name="Gear" sheetId="5" r:id="Ra96389407d90474a"/>
    <x:sheet xmlns:r="http://schemas.openxmlformats.org/officeDocument/2006/relationships" name="Degrees" sheetId="6" r:id="R6541a9f521ad44e2"/>
    <x:sheet xmlns:r="http://schemas.openxmlformats.org/officeDocument/2006/relationships" name="Affixes" sheetId="7" r:id="R1885c23d15634c41"/>
    <x:sheet xmlns:r="http://schemas.openxmlformats.org/officeDocument/2006/relationships" name="Procs" sheetId="8" r:id="Re956105ed19848c3"/>
    <x:sheet xmlns:r="http://schemas.openxmlformats.org/officeDocument/2006/relationships" name="Skill families" sheetId="9" r:id="R86740c2c99ac47de"/>
    <x:sheet xmlns:r="http://schemas.openxmlformats.org/officeDocument/2006/relationships" name="Combat roles" sheetId="10" r:id="R53027d0a67e24e33"/>
  </x:sheets>
</x:workbook>
</file>

<file path=xl/comments1.xml><?xml version="1.0" encoding="utf-8"?>
<x:comments xmlns:x="http://schemas.openxmlformats.org/spreadsheetml/2006/main">
  <x:authors>
    <x:author>design</x:author>
  </x:authors>
  <x:commentList>
    <x:comment ref="N4" authorId="0">
      <x:text>
        <x:r>
          <x:t>Defaults to Rules &gt; Skill max level. Type a number to override one skill.</x:t>
        </x:r>
      </x:text>
    </x:comment>
    <x:comment ref="S4" authorId="0">
      <x:text>
        <x:r>
          <x:t>Row unlock (Rules) + (option - 1) x option unlock step.</x:t>
        </x:r>
      </x:text>
    </x:comment>
    <x:comment ref="T4" authorId="0">
      <x:text>
        <x:r>
          <x:t>Unlock + (max level - 1) x pet levels per skill level (Rules).</x:t>
        </x:r>
      </x:text>
    </x:comment>
    <x:comment ref="X4" authorId="0">
      <x:text>
        <x:r>
          <x:t>Stable number the server and client use for this skill. Never reuse or renumber once live.</x:t>
        </x:r>
      </x:text>
    </x:comment>
    <x:comment ref="Y4" authorId="0">
      <x:text>
        <x:r>
          <x:t>Native skill icon (icon/skill/...), without .ddj.</x:t>
        </x:r>
      </x:text>
    </x:comment>
  </x:commentList>
</x:comments>
</file>

<file path=xl/comments2.xml><?xml version="1.0" encoding="utf-8"?>
<x:comments xmlns:x="http://schemas.openxmlformats.org/spreadsheetml/2006/main">
  <x:authors>
    <x:author>design</x:author>
  </x:authors>
  <x:commentList>
    <x:comment ref="I4" authorId="0">
      <x:text>
        <x:r>
          <x:t>itemdata codename (port row, portItemRows.mjs).</x:t>
        </x:r>
      </x:text>
    </x:comment>
    <x:comment ref="J4" authorId="0">
      <x:text>
        <x:r>
          <x:t>itemdata RefObjID (port row). Never reuse once live.</x:t>
        </x:r>
      </x:text>
    </x:comment>
    <x:comment ref="K4" authorId="0">
      <x:text>
        <x:r>
          <x:t>itemdata codename (port row, portItemRows.mjs).</x:t>
        </x:r>
      </x:text>
    </x:comment>
    <x:comment ref="L4" authorId="0">
      <x:text>
        <x:r>
          <x:t>itemdata RefObjID (port row). Never reuse once live.</x:t>
        </x:r>
      </x:text>
    </x:comment>
    <x:comment ref="M4" authorId="0">
      <x:text>
        <x:r>
          <x:t>itemdata codename (port row, portItemRows.mjs).</x:t>
        </x:r>
      </x:text>
    </x:comment>
    <x:comment ref="N4" authorId="0">
      <x:text>
        <x:r>
          <x:t>itemdata RefObjID (port row). Never reuse once live.</x:t>
        </x:r>
      </x:text>
    </x:comment>
  </x:commentList>
</x:comments>
</file>

<file path=xl/comments3.xml><?xml version="1.0" encoding="utf-8"?>
<x:comments xmlns:x="http://schemas.openxmlformats.org/spreadsheetml/2006/main">
  <x:authors>
    <x:author>design</x:author>
  </x:authors>
  <x:commentList>
    <x:comment ref="O4" authorId="0">
      <x:text>
        <x:r>
          <x:t>How many affix tiers in Affixes can roll at this degree (Min degree &lt;= degree).</x:t>
        </x:r>
      </x:text>
    </x:comment>
  </x:commentList>
</x:comments>
</file>

<file path=xl/comments4.xml><?xml version="1.0" encoding="utf-8"?>
<x:comments xmlns:x="http://schemas.openxmlformats.org/spreadsheetml/2006/main">
  <x:authors>
    <x:author>design</x:author>
  </x:authors>
  <x:commentList>
    <x:comment ref="H4" authorId="0">
      <x:text>
        <x:r>
          <x:t>Tier inside its Group. Higher tiers need a higher Min degree.</x:t>
        </x:r>
      </x:text>
    </x:comment>
    <x:comment ref="M4" authorId="0">
      <x:text>
        <x:r>
          <x:t>Relative roll weight among the affixes an item can still take (D2 frequency).</x:t>
        </x:r>
      </x:text>
    </x:comment>
    <x:comment ref="Q4" authorId="0">
      <x:text>
        <x:r>
          <x:t>Stable wire number of this affix tier (blue option id = 0x8000 + Code). Never reuse or renumber once items exist.</x:t>
        </x:r>
      </x:text>
    </x:comment>
  </x:commentList>
</x:comments>
</file>

<file path=xl/sharedStrings.xml><?xml version="1.0" encoding="utf-8"?>
<x:sst xmlns:x="http://schemas.openxmlformats.org/spreadsheetml/2006/main">
  <x:si>
    <x:t xml:space="preserve">Attack-pet expansion: skills and equipment</x:t>
  </x:si>
  <x:si>
    <x:t xml:space="preserve">Single source of truth for the design. Edit the yellow cells; formulas (black) follow.</x:t>
  </x:si>
  <x:si>
    <x:t xml:space="preserve">What this is</x:t>
  </x:si>
  <x:si>
    <x:t xml:space="preserve">The design of the four attack pets' skill trees and of the shared pet equipment (monster drops with random blue options, Diablo 2 style). The server and client will be built from these tables.</x:t>
  </x:si>
  <x:si>
    <x:t xml:space="preserve">How to edit</x:t>
  </x:si>
  <x:si>
    <x:t xml:space="preserve">Yellow cells with blue text are design inputs: change them freely. Black cells are formulas (do not overwrite). To add a skill or an affix, insert a row inside its table and copy the formula cells from the row above.</x:t>
  </x:si>
  <x:si>
    <x:t xml:space="preserve">Sheets</x:t>
  </x:si>
  <x:si>
    <x:t xml:space="preserve">Rules: every global knob (points, rows, cooldown sharing, drop multipliers, blues). Pets: the four pets and their animations. Skills: all 60 skills (filter by Pet). Gear: equipment slots and base items by degree. Degrees: drop chance and blue odds per degree. Affixes: the blue option pool with tiers. Procs: the 'chance to cast' skills affixes and skills call.</x:t>
  </x:si>
  <x:si>
    <x:t xml:space="preserve">Status column</x:t>
  </x:si>
  <x:si>
    <x:t xml:space="preserve">Implemented = live in the lab build (wolf v1). Planned = designed, not built. Needs engine = also needs a new server mechanic (named in Engine notes).</x:t>
  </x:si>
  <x:si>
    <x:t xml:space="preserve">Skill rows</x:t>
  </x:si>
  <x:si>
    <x:t xml:space="preserve">Each pet has 2 active rows and 3 passive rows of 3 options. All learned actives in a row share one cooldown (using one puts the whole row on cooldown), so at most 2 actives fire independently. One passive per passive row is slotted at a time, so at most 3 passives are active.</x:t>
  </x:si>
  <x:si>
    <x:t xml:space="preserve">Cooldown kinds</x:t>
  </x:si>
  <x:si>
    <x:t xml:space="preserve">Timer (seconds), Attacks (pet attacks made), Hits taken (by the pet, or the owner where noted), Kills, Owner casts, Spells (pet spells cast). A counter cooldown keeps counting while the row waits.</x:t>
  </x:si>
  <x:si>
    <x:t xml:space="preserve">Ranks</x:t>
  </x:si>
  <x:si>
    <x:t xml:space="preserve">Every skill levels 1-10. Rank II (level 5) and Rank III (level 10) add an advanced option on top of the per-level growth (Rules sets the levels).</x:t>
  </x:si>
  <x:si>
    <x:t xml:space="preserve">Diablo 2 basis</x:t>
  </x:si>
  <x:si>
    <x:t xml:space="preserve">Magic items roll 1-2 affixes, rares 3+ (here capped at 5); one affix per group; each affix has a weight and a minimum item level; higher item level unlocks better tiers; procs come as 'on striking' and 'when struck'. Degree plays the part of item level.</x:t>
  </x:si>
  <x:si>
    <x:t xml:space="preserve">Open decisions</x:t>
  </x:si>
  <x:si>
    <x:t xml:space="preserve">1) One equipment family worn by all pets in 3 slots (Collar, Harness, Charm) - confirm the 3 slots stay. 2) Passives are slotted one per row - confirm vs. all learned passives active. 3) Numbers are a first pass for balance testing.</x:t>
  </x:si>
  <x:si>
    <x:t xml:space="preserve">Changelog</x:t>
  </x:si>
  <x:si>
    <x:t xml:space="preserve">Date</x:t>
  </x:si>
  <x:si>
    <x:t xml:space="preserve">Change</x:t>
  </x:si>
  <x:si>
    <x:t xml:space="preserve">By</x:t>
  </x:si>
  <x:si>
    <x:t xml:space="preserve">2026-10-14</x:t>
  </x:si>
  <x:si>
    <x:t xml:space="preserve">First design: 4 pets x 5 rows x 3 skills, shared pet equipment with D1-D9 degrees, 5-blue cap, affix and proc pools.</x:t>
  </x:si>
  <x:si>
    <x:t xml:space="preserve">Claude (for owner review)</x:t>
  </x:si>
  <x:si>
    <x:t xml:space="preserve">Rules</x:t>
  </x:si>
  <x:si>
    <x:t xml:space="preserve">Global knobs. Other sheets read these cells by formula.</x:t>
  </x:si>
  <x:si>
    <x:t xml:space="preserve">Key</x:t>
  </x:si>
  <x:si>
    <x:t xml:space="preserve">Value</x:t>
  </x:si>
  <x:si>
    <x:t xml:space="preserve">Unit</x:t>
  </x:si>
  <x:si>
    <x:t xml:space="preserve">Meaning</x:t>
  </x:si>
  <x:si>
    <x:t xml:space="preserve">Skill max level</x:t>
  </x:si>
  <x:si>
    <x:t xml:space="preserve">levels</x:t>
  </x:si>
  <x:si>
    <x:t xml:space="preserve">Every skill's level cap (a skill row may override).</x:t>
  </x:si>
  <x:si>
    <x:t xml:space="preserve">Rank II level</x:t>
  </x:si>
  <x:si>
    <x:t xml:space="preserve">skill level</x:t>
  </x:si>
  <x:si>
    <x:t xml:space="preserve">Skill level that adds the Rank II option.</x:t>
  </x:si>
  <x:si>
    <x:t xml:space="preserve">Rank III level</x:t>
  </x:si>
  <x:si>
    <x:t xml:space="preserve">Skill level that adds the Rank III option.</x:t>
  </x:si>
  <x:si>
    <x:t xml:space="preserve">Pet levels per skill level</x:t>
  </x:si>
  <x:si>
    <x:t xml:space="preserve">pet levels</x:t>
  </x:si>
  <x:si>
    <x:t xml:space="preserve">Each further skill level needs this many more pet levels than the last.</x:t>
  </x:si>
  <x:si>
    <x:t xml:space="preserve">Points per pet levels</x:t>
  </x:si>
  <x:si>
    <x:t xml:space="preserve">One skill point at pet level 1, then one more every N levels.</x:t>
  </x:si>
  <x:si>
    <x:t xml:space="preserve">Option unlock step</x:t>
  </x:si>
  <x:si>
    <x:t xml:space="preserve">Option 2 of a row unlocks this many levels after option 1, option 3 twice that.</x:t>
  </x:si>
  <x:si>
    <x:t xml:space="preserve">Row unlock: Active 1</x:t>
  </x:si>
  <x:si>
    <x:t xml:space="preserve">pet level</x:t>
  </x:si>
  <x:si>
    <x:t xml:space="preserve">First active row.</x:t>
  </x:si>
  <x:si>
    <x:t xml:space="preserve">Row unlock: Active 2</x:t>
  </x:si>
  <x:si>
    <x:t xml:space="preserve">Second active row.</x:t>
  </x:si>
  <x:si>
    <x:t xml:space="preserve">Row unlock: Passive 1</x:t>
  </x:si>
  <x:si>
    <x:t xml:space="preserve">Row unlock: Passive 2</x:t>
  </x:si>
  <x:si>
    <x:t xml:space="preserve">Row unlock: Passive 3</x:t>
  </x:si>
  <x:si>
    <x:t xml:space="preserve">Shared row cooldown</x:t>
  </x:si>
  <x:si>
    <x:t xml:space="preserve">Yes</x:t>
  </x:si>
  <x:si>
    <x:t xml:space="preserve">Using any active in a row puts the whole row on cooldown.</x:t>
  </x:si>
  <x:si>
    <x:t xml:space="preserve">Passives slotted per row</x:t>
  </x:si>
  <x:si>
    <x:t xml:space="preserve">skills</x:t>
  </x:si>
  <x:si>
    <x:t xml:space="preserve">Passives active at once per passive row (3 rows = 3 passives).</x:t>
  </x:si>
  <x:si>
    <x:t xml:space="preserve">Proc internal cooldown</x:t>
  </x:si>
  <x:si>
    <x:t xml:space="preserve">s</x:t>
  </x:si>
  <x:si>
    <x:t xml:space="preserve">A 'chance to cast' affix cannot fire twice within this time (D2 has none; we add it for balance).</x:t>
  </x:si>
  <x:si>
    <x:t xml:space="preserve">Max blues per item</x:t>
  </x:si>
  <x:si>
    <x:t xml:space="preserve">options</x:t>
  </x:si>
  <x:si>
    <x:t xml:space="preserve">Hard cap on blue options per item.</x:t>
  </x:si>
  <x:si>
    <x:t xml:space="preserve">Magic: chance of 2 blues</x:t>
  </x:si>
  <x:si>
    <x:t xml:space="preserve">fraction</x:t>
  </x:si>
  <x:si>
    <x:t xml:space="preserve">A magic item rolls 1 blue, or 2 with this chance.</x:t>
  </x:si>
  <x:si>
    <x:t xml:space="preserve">Monster rank x General</x:t>
  </x:si>
  <x:si>
    <x:t xml:space="preserve">x</x:t>
  </x:si>
  <x:si>
    <x:t xml:space="preserve">Drop chance multiplier by monster rank.</x:t>
  </x:si>
  <x:si>
    <x:t xml:space="preserve">Monster rank x Champion</x:t>
  </x:si>
  <x:si>
    <x:t xml:space="preserve">Monster rank x Giant</x:t>
  </x:si>
  <x:si>
    <x:t xml:space="preserve">Monster rank x Unique</x:t>
  </x:si>
  <x:si>
    <x:t xml:space="preserve">Uniques also drop one degree higher (capped at D9).</x:t>
  </x:si>
  <x:si>
    <x:t xml:space="preserve">Collar implicit per degree</x:t>
  </x:si>
  <x:si>
    <x:t xml:space="preserve">% damage</x:t>
  </x:si>
  <x:si>
    <x:t xml:space="preserve">Base (white) stat of a collar: damage +N% per degree.</x:t>
  </x:si>
  <x:si>
    <x:t xml:space="preserve">Harness implicit per degree</x:t>
  </x:si>
  <x:si>
    <x:t xml:space="preserve">% defense</x:t>
  </x:si>
  <x:si>
    <x:t xml:space="preserve">Base stat of a harness: defense +N% per degree.</x:t>
  </x:si>
  <x:si>
    <x:t xml:space="preserve">Charm implicit per degree</x:t>
  </x:si>
  <x:si>
    <x:t xml:space="preserve">% cooldown</x:t>
  </x:si>
  <x:si>
    <x:t xml:space="preserve">Base stat of a charm: skill cooldowns -N% per degree.</x:t>
  </x:si>
  <x:si>
    <x:t xml:space="preserve">Drop source</x:t>
  </x:si>
  <x:si>
    <x:t xml:space="preserve">Monsters</x:t>
  </x:si>
  <x:si>
    <x:t xml:space="preserve">Pet equipment drops from monsters only; no NPC shop sells it.</x:t>
  </x:si>
  <x:si>
    <x:t xml:space="preserve">Skill points at pet level</x:t>
  </x:si>
  <x:si>
    <x:t xml:space="preserve">Pet level</x:t>
  </x:si>
  <x:si>
    <x:t xml:space="preserve">Points (formula)</x:t>
  </x:si>
  <x:si>
    <x:t xml:space="preserve">One skill per row maxed needs 5 x 10 = 50 points: a choice even at level 140.</x:t>
  </x:si>
  <x:si>
    <x:t xml:space="preserve">Pets</x:t>
  </x:si>
  <x:si>
    <x:t xml:space="preserve">The four attack pets (v1.150 data: 140 levels each) and the native animation clips their skills can use.</x:t>
  </x:si>
  <x:si>
    <x:t xml:space="preserve">Pet</x:t>
  </x:si>
  <x:si>
    <x:t xml:space="preserve">Role</x:t>
  </x:si>
  <x:si>
    <x:t xml:space="preserve">Codename family</x:t>
  </x:si>
  <x:si>
    <x:t xml:space="preserve">Summon item</x:t>
  </x:si>
  <x:si>
    <x:t xml:space="preserve">Leans on</x:t>
  </x:si>
  <x:si>
    <x:t xml:space="preserve">Model clips</x:t>
  </x:si>
  <x:si>
    <x:t xml:space="preserve">Active animation</x:t>
  </x:si>
  <x:si>
    <x:t xml:space="preserve">Notes</x:t>
  </x:si>
  <x:si>
    <x:t xml:space="preserve">Bear</x:t>
  </x:si>
  <x:si>
    <x:t xml:space="preserve">Defense</x:t>
  </x:si>
  <x:si>
    <x:t xml:space="preserve">COS_P_BEAR</x:t>
  </x:si>
  <x:si>
    <x:t xml:space="preserve">ITEM_COS_P_BEAR_SCROLL</x:t>
  </x:si>
  <x:si>
    <x:t xml:space="preserve">HP, defense, threat</x:t>
  </x:si>
  <x:si>
    <x:t xml:space="preserve">stand, walk, run, attack1, hit1, down, wakeup, emote0 (roar)</x:t>
  </x:si>
  <x:si>
    <x:t xml:space="preserve">emote0 for roars and taunts; attack1 for slams</x:t>
  </x:si>
  <x:si>
    <x:t xml:space="preserve">Tank: holds monsters off the owner.</x:t>
  </x:si>
  <x:si>
    <x:t xml:space="preserve">Wolf</x:t>
  </x:si>
  <x:si>
    <x:t xml:space="preserve">Attack</x:t>
  </x:si>
  <x:si>
    <x:t xml:space="preserve">COS_P_WOLF, _WHITE, _WHITE_SMALL</x:t>
  </x:si>
  <x:si>
    <x:t xml:space="preserve">ITEM_COS_P_FLUTE (+_WHITE, _WHITE_SMALL)</x:t>
  </x:si>
  <x:si>
    <x:t xml:space="preserve">Physical damage, speed</x:t>
  </x:si>
  <x:si>
    <x:t xml:space="preserve">stand, walk, run, attack1, down, wakeup, emote0 (howl)</x:t>
  </x:si>
  <x:si>
    <x:t xml:space="preserve">emote0 for howls; attack1 for bites</x:t>
  </x:si>
  <x:si>
    <x:t xml:space="preserve">Damage dealer; current lab build has the v1 wolf tree.</x:t>
  </x:si>
  <x:si>
    <x:t xml:space="preserve">Penguin</x:t>
  </x:si>
  <x:si>
    <x:t xml:space="preserve">Magic</x:t>
  </x:si>
  <x:si>
    <x:t xml:space="preserve">COS_P_PENGUIN</x:t>
  </x:si>
  <x:si>
    <x:t xml:space="preserve">ITEM_COS_P_PENGUIN_SCROLL</x:t>
  </x:si>
  <x:si>
    <x:t xml:space="preserve">Magic damage, frost control</x:t>
  </x:si>
  <x:si>
    <x:t xml:space="preserve">stand, walk, run, attack1, attack2, hit1, down, emote0</x:t>
  </x:si>
  <x:si>
    <x:t xml:space="preserve">attack2 for spells; emote0 for wards</x:t>
  </x:si>
  <x:si>
    <x:t xml:space="preserve">Only pet with a second attack clip: spells read as casts.</x:t>
  </x:si>
  <x:si>
    <x:t xml:space="preserve">Crow</x:t>
  </x:si>
  <x:si>
    <x:t xml:space="preserve">Support</x:t>
  </x:si>
  <x:si>
    <x:t xml:space="preserve">COS_P_RAVEN</x:t>
  </x:si>
  <x:si>
    <x:t xml:space="preserve">ITEM_COS_P_RAVEN_SCROLL</x:t>
  </x:si>
  <x:si>
    <x:t xml:space="preserve">Owner and party buffs</x:t>
  </x:si>
  <x:si>
    <x:t xml:space="preserve">stand, walk, run, attack1, hit1, down, emote0 (caw)</x:t>
  </x:si>
  <x:si>
    <x:t xml:space="preserve">emote0 for cries; attack1 for pecks</x:t>
  </x:si>
  <x:si>
    <x:t xml:space="preserve">The native raven model.</x:t>
  </x:si>
  <x:si>
    <x:t xml:space="preserve">Skills</x:t>
  </x:si>
  <x:si>
    <x:t xml:space="preserve">Each pet: 2 active rows + 3 passive rows, 3 options each. {v} in an effect is the Value column at the skill's level.</x:t>
  </x:si>
  <x:si>
    <x:t xml:space="preserve">Row</x:t>
  </x:si>
  <x:si>
    <x:t xml:space="preserve">Row theme</x:t>
  </x:si>
  <x:si>
    <x:t xml:space="preserve">Option</x:t>
  </x:si>
  <x:si>
    <x:t xml:space="preserve">Skill</x:t>
  </x:si>
  <x:si>
    <x:t xml:space="preserve">Effect ({v})</x:t>
  </x:si>
  <x:si>
    <x:t xml:space="preserve">Trigger / cooldown kind</x:t>
  </x:si>
  <x:si>
    <x:t xml:space="preserve">Cooldown L1</x:t>
  </x:si>
  <x:si>
    <x:t xml:space="preserve">Cooldown unit</x:t>
  </x:si>
  <x:si>
    <x:t xml:space="preserve">Cooldown per level</x:t>
  </x:si>
  <x:si>
    <x:t xml:space="preserve">Value L1</x:t>
  </x:si>
  <x:si>
    <x:t xml:space="preserve">Value per level</x:t>
  </x:si>
  <x:si>
    <x:t xml:space="preserve">Value unit</x:t>
  </x:si>
  <x:si>
    <x:t xml:space="preserve">Max level</x:t>
  </x:si>
  <x:si>
    <x:t xml:space="preserve">Value at max</x:t>
  </x:si>
  <x:si>
    <x:t xml:space="preserve">Cooldown at max</x:t>
  </x:si>
  <x:si>
    <x:t xml:space="preserve">Rank II</x:t>
  </x:si>
  <x:si>
    <x:t xml:space="preserve">Rank III</x:t>
  </x:si>
  <x:si>
    <x:t xml:space="preserve">Unlock pet level</x:t>
  </x:si>
  <x:si>
    <x:t xml:space="preserve">Pet level for max</x:t>
  </x:si>
  <x:si>
    <x:t xml:space="preserve">Animation</x:t>
  </x:si>
  <x:si>
    <x:t xml:space="preserve">Engine notes</x:t>
  </x:si>
  <x:si>
    <x:t xml:space="preserve">Status</x:t>
  </x:si>
  <x:si>
    <x:t xml:space="preserve">ID</x:t>
  </x:si>
  <x:si>
    <x:t xml:space="preserve">Icon</x:t>
  </x:si>
  <x:si>
    <x:t xml:space="preserve">Active 1</x:t>
  </x:si>
  <x:si>
    <x:t xml:space="preserve">Control</x:t>
  </x:si>
  <x:si>
    <x:t xml:space="preserve">Terrifying Howl</x:t>
  </x:si>
  <x:si>
    <x:t xml:space="preserve">Timer</x:t>
  </x:si>
  <x:si>
    <x:t xml:space="preserve">monsters</x:t>
  </x:si>
  <x:si>
    <x:t xml:space="preserve">emote0</x:t>
  </x:si>
  <x:si>
    <x:t xml:space="preserve">Live (native Fear: feared monsters cannot attack the pet), Rank II and III live.</x:t>
  </x:si>
  <x:si>
    <x:t xml:space="preserve">Implemented</x:t>
  </x:si>
  <x:si>
    <x:t xml:space="preserve">skill\europe\warrior_twohanda_cry_a</x:t>
  </x:si>
  <x:si>
    <x:t xml:space="preserve">Hamstring</x:t>
  </x:si>
  <x:si>
    <x:t xml:space="preserve">Attacks</x:t>
  </x:si>
  <x:si>
    <x:t xml:space="preserve">attacks</x:t>
  </x:si>
  <x:si>
    <x:t xml:space="preserve">attack1</x:t>
  </x:si>
  <x:si>
    <x:t xml:space="preserve">Live (native stun). Rank III live; Rank II slow planned.</x:t>
  </x:si>
  <x:si>
    <x:t xml:space="preserve">skill\europe\warlock_soula_stun_a</x:t>
  </x:si>
  <x:si>
    <x:t xml:space="preserve">Alpha's Lure</x:t>
  </x:si>
  <x:si>
    <x:t xml:space="preserve">Kills</x:t>
  </x:si>
  <x:si>
    <x:t xml:space="preserve">kills</x:t>
  </x:si>
  <x:si>
    <x:t xml:space="preserve">Lured monsters are pulled to the wolf.</x:t>
  </x:si>
  <x:si>
    <x:t xml:space="preserve">The owner deals +20% damage to lured monsters.</x:t>
  </x:si>
  <x:si>
    <x:t xml:space="preserve">Threat override in monster AI; displacement exists.</x:t>
  </x:si>
  <x:si>
    <x:t xml:space="preserve">Needs engine</x:t>
  </x:si>
  <x:si>
    <x:t xml:space="preserve">skill\europe\warrior_frenzya_tount_a</x:t>
  </x:si>
  <x:si>
    <x:t xml:space="preserve">Active 2</x:t>
  </x:si>
  <x:si>
    <x:t xml:space="preserve">Burst</x:t>
  </x:si>
  <x:si>
    <x:t xml:space="preserve">Rending Bite</x:t>
  </x:si>
  <x:si>
    <x:t xml:space="preserve">Live (native bleed). Rank II and III live.</x:t>
  </x:si>
  <x:si>
    <x:t xml:space="preserve">skill\china\fire_gigongta_b</x:t>
  </x:si>
  <x:si>
    <x:t xml:space="preserve">Frenzy</x:t>
  </x:si>
  <x:si>
    <x:t xml:space="preserve">% speed</x:t>
  </x:si>
  <x:si>
    <x:t xml:space="preserve">Live (attack interval). Rank II live; Rank III planned.</x:t>
  </x:si>
  <x:si>
    <x:t xml:space="preserve">skill\europe\warrior_frenzya_damage_a</x:t>
  </x:si>
  <x:si>
    <x:t xml:space="preserve">Pounce</x:t>
  </x:si>
  <x:si>
    <x:t xml:space="preserve">Live as the fight's opening hit (no leap). Rank II and III live.</x:t>
  </x:si>
  <x:si>
    <x:t xml:space="preserve">skill\china\bow_call_b</x:t>
  </x:si>
  <x:si>
    <x:t xml:space="preserve">Passive 1</x:t>
  </x:si>
  <x:si>
    <x:t xml:space="preserve">Killer instinct</x:t>
  </x:si>
  <x:si>
    <x:t xml:space="preserve">Execute</x:t>
  </x:si>
  <x:si>
    <x:t xml:space="preserve">Passive</x:t>
  </x:si>
  <x:si>
    <x:t xml:space="preserve">% HP</x:t>
  </x:si>
  <x:si>
    <x:t xml:space="preserve">Live. Rank II live; Rank III planned.</x:t>
  </x:si>
  <x:si>
    <x:t xml:space="preserve">skill\europe\warrior_onehanda_critical_a</x:t>
  </x:si>
  <x:si>
    <x:t xml:space="preserve">Bloodlust</x:t>
  </x:si>
  <x:si>
    <x:t xml:space="preserve">Live. Rank II and III live.</x:t>
  </x:si>
  <x:si>
    <x:t xml:space="preserve">skill\europe\warlock_blooda_explosion_a</x:t>
  </x:si>
  <x:si>
    <x:t xml:space="preserve">Predator</x:t>
  </x:si>
  <x:si>
    <x:t xml:space="preserve">% attack</x:t>
  </x:si>
  <x:si>
    <x:t xml:space="preserve">Live. Ranks II and III planned.</x:t>
  </x:si>
  <x:si>
    <x:t xml:space="preserve">skill\china\lightning_chundung_b</x:t>
  </x:si>
  <x:si>
    <x:t xml:space="preserve">Passive 2</x:t>
  </x:si>
  <x:si>
    <x:t xml:space="preserve">Pack</x:t>
  </x:si>
  <x:si>
    <x:t xml:space="preserve">Pack Runner</x:t>
  </x:si>
  <x:si>
    <x:t xml:space="preserve">The owner gets half the bonus.</x:t>
  </x:si>
  <x:si>
    <x:t xml:space="preserve">Every party member within 20 m gets the full bonus (one Pack Runner counts).</x:t>
  </x:si>
  <x:si>
    <x:t xml:space="preserve">Movement speed parameter on pet, owner and party.</x:t>
  </x:si>
  <x:si>
    <x:t xml:space="preserve">Planned</x:t>
  </x:si>
  <x:si>
    <x:t xml:space="preserve">skill\europe\rog_stealthp_mspeed_a</x:t>
  </x:si>
  <x:si>
    <x:t xml:space="preserve">Scent of Blood</x:t>
  </x:si>
  <x:si>
    <x:t xml:space="preserve">% crit</x:t>
  </x:si>
  <x:si>
    <x:t xml:space="preserve">skill\europe\warlock_dota_blooding_a</x:t>
  </x:si>
  <x:si>
    <x:t xml:space="preserve">Swift Fangs</x:t>
  </x:si>
  <x:si>
    <x:t xml:space="preserve">Live (attack interval). Ranks II and III planned.</x:t>
  </x:si>
  <x:si>
    <x:t xml:space="preserve">skill\europe\rog_daggera_speed_a</x:t>
  </x:si>
  <x:si>
    <x:t xml:space="preserve">Passive 3</x:t>
  </x:si>
  <x:si>
    <x:t xml:space="preserve">Survival</x:t>
  </x:si>
  <x:si>
    <x:t xml:space="preserve">Thick Fur</x:t>
  </x:si>
  <x:si>
    <x:t xml:space="preserve">skill\europe\warrior_shieldp_defense_a</x:t>
  </x:si>
  <x:si>
    <x:t xml:space="preserve">Lifebite</x:t>
  </x:si>
  <x:si>
    <x:t xml:space="preserve">% leech</x:t>
  </x:si>
  <x:si>
    <x:t xml:space="preserve">skill\europe\warlock_blooda_lifedrain_a</x:t>
  </x:si>
  <x:si>
    <x:t xml:space="preserve">Second Wind</x:t>
  </x:si>
  <x:si>
    <x:t xml:space="preserve">Live (checked on the wolf's next attack). Ranks II and III planned.</x:t>
  </x:si>
  <x:si>
    <x:t xml:space="preserve">skill\europe\cleric_recoverya_quick_a</x:t>
  </x:si>
  <x:si>
    <x:t xml:space="preserve">Threat</x:t>
  </x:si>
  <x:si>
    <x:t xml:space="preserve">Challenging Roar</x:t>
  </x:si>
  <x:si>
    <x:t xml:space="preserve">Threat override in monster AI.</x:t>
  </x:si>
  <x:si>
    <x:t xml:space="preserve">skill\europe\warrior_frenzya_tount_area_a</x:t>
  </x:si>
  <x:si>
    <x:t xml:space="preserve">Ground Slam</x:t>
  </x:si>
  <x:si>
    <x:t xml:space="preserve">Hits taken</x:t>
  </x:si>
  <x:si>
    <x:t xml:space="preserve">hits taken</x:t>
  </x:si>
  <x:si>
    <x:t xml:space="preserve">Live (native stun, area around the bear). Rank II live; Rank III planned.</x:t>
  </x:si>
  <x:si>
    <x:t xml:space="preserve">skill\europe\wizard_eartha_area_a</x:t>
  </x:si>
  <x:si>
    <x:t xml:space="preserve">Bear Hug</x:t>
  </x:si>
  <x:si>
    <x:t xml:space="preserve">Pulls up to 3 monsters.</x:t>
  </x:si>
  <x:si>
    <x:t xml:space="preserve">The held monster takes +25% damage.</x:t>
  </x:si>
  <x:si>
    <x:t xml:space="preserve">Displacement exists; hold = stun.</x:t>
  </x:si>
  <x:si>
    <x:t xml:space="preserve">skill\europe\warrior_guarda_intercept_a</x:t>
  </x:si>
  <x:si>
    <x:t xml:space="preserve">Endurance</x:t>
  </x:si>
  <x:si>
    <x:t xml:space="preserve">Retribution</x:t>
  </x:si>
  <x:si>
    <x:t xml:space="preserve">% stored</x:t>
  </x:si>
  <x:si>
    <x:t xml:space="preserve">Live (released on the bear's next attack after 10 s). Rank III live; Rank II planned.</x:t>
  </x:si>
  <x:si>
    <x:t xml:space="preserve">skill\europe\warrior_twohandp_return_a</x:t>
  </x:si>
  <x:si>
    <x:t xml:space="preserve">Iron Hide</x:t>
  </x:si>
  <x:si>
    <x:t xml:space="preserve">% reduced</x:t>
  </x:si>
  <x:si>
    <x:t xml:space="preserve">skill\europe\warrior_guarda_physical_a</x:t>
  </x:si>
  <x:si>
    <x:t xml:space="preserve">Guardian Bond</x:t>
  </x:si>
  <x:si>
    <x:t xml:space="preserve">% redirected</x:t>
  </x:si>
  <x:si>
    <x:t xml:space="preserve">The bear's defense applies to the redirected damage.</x:t>
  </x:si>
  <x:si>
    <x:t xml:space="preserve">Covers party members within 10 m.</x:t>
  </x:si>
  <x:si>
    <x:t xml:space="preserve">Damage redirect on the player victim path.</x:t>
  </x:si>
  <x:si>
    <x:t xml:space="preserve">skill\europe\warrior_guarda_divide_a</x:t>
  </x:si>
  <x:si>
    <x:t xml:space="preserve">Hide</x:t>
  </x:si>
  <x:si>
    <x:t xml:space="preserve">Thick Hide</x:t>
  </x:si>
  <x:si>
    <x:t xml:space="preserve">skill\china\cold_ganggi_b</x:t>
  </x:si>
  <x:si>
    <x:t xml:space="preserve">Fortitude</x:t>
  </x:si>
  <x:si>
    <x:t xml:space="preserve">+1% HP regeneration every 2 s.</x:t>
  </x:si>
  <x:si>
    <x:t xml:space="preserve">Revives once per 10 min at 30% HP.</x:t>
  </x:si>
  <x:si>
    <x:t xml:space="preserve">skill\europe\warrior_frenzya_health_a</x:t>
  </x:si>
  <x:si>
    <x:t xml:space="preserve">Thorns</x:t>
  </x:si>
  <x:si>
    <x:t xml:space="preserve">% returned</x:t>
  </x:si>
  <x:si>
    <x:t xml:space="preserve">Returned damage can stun (5%).</x:t>
  </x:si>
  <x:si>
    <x:t xml:space="preserve">Also covers hits on the owner.</x:t>
  </x:si>
  <x:si>
    <x:t xml:space="preserve">Damage return exists for players (damagereturn.go).</x:t>
  </x:si>
  <x:si>
    <x:t xml:space="preserve">skill\europe\warlock_soula_return_a</x:t>
  </x:si>
  <x:si>
    <x:t xml:space="preserve">Steadfast</x:t>
  </x:si>
  <x:si>
    <x:t xml:space="preserve">Last Stand</x:t>
  </x:si>
  <x:si>
    <x:t xml:space="preserve">skill\china\fire_ganggi_b</x:t>
  </x:si>
  <x:si>
    <x:t xml:space="preserve">Unshakable</x:t>
  </x:si>
  <x:si>
    <x:t xml:space="preserve">% chance</x:t>
  </x:si>
  <x:si>
    <x:t xml:space="preserve">Also ignores slows.</x:t>
  </x:si>
  <x:si>
    <x:t xml:space="preserve">Gives the owner half the chance.</x:t>
  </x:si>
  <x:si>
    <x:t xml:space="preserve">Status resistance roll exists.</x:t>
  </x:si>
  <x:si>
    <x:t xml:space="preserve">skill\europe\warrior_dualp_abnormal_a</x:t>
  </x:si>
  <x:si>
    <x:t xml:space="preserve">Regeneration</x:t>
  </x:si>
  <x:si>
    <x:t xml:space="preserve">Full rate in combat.</x:t>
  </x:si>
  <x:si>
    <x:t xml:space="preserve">Also regenerates the owner.</x:t>
  </x:si>
  <x:si>
    <x:t xml:space="preserve">skill\europe\cleric_recoverya_target_a</x:t>
  </x:si>
  <x:si>
    <x:t xml:space="preserve">Protector</x:t>
  </x:si>
  <x:si>
    <x:t xml:space="preserve">Bodyguard</x:t>
  </x:si>
  <x:si>
    <x:t xml:space="preserve">Taunted monster is slowed 20%.</x:t>
  </x:si>
  <x:si>
    <x:t xml:space="preserve">Works for the whole party within 10 m.</x:t>
  </x:si>
  <x:si>
    <x:t xml:space="preserve">Threat override.</x:t>
  </x:si>
  <x:si>
    <x:t xml:space="preserve">skill\europe\warrior_guarda_aggro_a</x:t>
  </x:si>
  <x:si>
    <x:t xml:space="preserve">Crushing Paw</x:t>
  </x:si>
  <x:si>
    <x:t xml:space="preserve">Live (native stun). Rank II and III live.</x:t>
  </x:si>
  <x:si>
    <x:t xml:space="preserve">skill\europe\warrior_duala_stun_a</x:t>
  </x:si>
  <x:si>
    <x:t xml:space="preserve">Steadfast Aura</x:t>
  </x:si>
  <x:si>
    <x:t xml:space="preserve">Also +5% max HP to the owner.</x:t>
  </x:si>
  <x:si>
    <x:t xml:space="preserve">Whole party within 20 m.</x:t>
  </x:si>
  <x:si>
    <x:t xml:space="preserve">Owner/party stat aura.</x:t>
  </x:si>
  <x:si>
    <x:t xml:space="preserve">skill\europe\warrior_guarda_all_block_a</x:t>
  </x:si>
  <x:si>
    <x:t xml:space="preserve">Frost spells</x:t>
  </x:si>
  <x:si>
    <x:t xml:space="preserve">Frost Nova</x:t>
  </x:si>
  <x:si>
    <x:t xml:space="preserve">attack2</x:t>
  </x:si>
  <x:si>
    <x:t xml:space="preserve">Live (native frostbite, area around the penguin). Rank II live; Rank III planned.</x:t>
  </x:si>
  <x:si>
    <x:t xml:space="preserve">skill\europe\wizard_colda_area_a</x:t>
  </x:si>
  <x:si>
    <x:t xml:space="preserve">Blizzard</x:t>
  </x:si>
  <x:si>
    <x:t xml:space="preserve">% per s</x:t>
  </x:si>
  <x:si>
    <x:t xml:space="preserve">Slows 40% inside the storm.</x:t>
  </x:si>
  <x:si>
    <x:t xml:space="preserve">Lasts 6 s.</x:t>
  </x:si>
  <x:si>
    <x:t xml:space="preserve">Ground effect with pulses (traps exist).</x:t>
  </x:si>
  <x:si>
    <x:t xml:space="preserve">skill\europe\wizard_colda_area_b</x:t>
  </x:si>
  <x:si>
    <x:t xml:space="preserve">Ice Slide</x:t>
  </x:si>
  <x:si>
    <x:t xml:space="preserve">Leaves an ice trail that slows.</x:t>
  </x:si>
  <x:si>
    <x:t xml:space="preserve">Slides back for a second hit.</x:t>
  </x:si>
  <x:si>
    <x:t xml:space="preserve">run</x:t>
  </x:si>
  <x:si>
    <x:t xml:space="preserve">Movement burst + line candidates.</x:t>
  </x:si>
  <x:si>
    <x:t xml:space="preserve">skill\europe\wizard_colda_point_a</x:t>
  </x:si>
  <x:si>
    <x:t xml:space="preserve">Deep Freeze</x:t>
  </x:si>
  <x:si>
    <x:t xml:space="preserve">Live (native freeze). Rank II live; Rank III planned.</x:t>
  </x:si>
  <x:si>
    <x:t xml:space="preserve">skill\europe\wizard_colda_point_b</x:t>
  </x:si>
  <x:si>
    <x:t xml:space="preserve">Glacial Ward</x:t>
  </x:si>
  <x:si>
    <x:t xml:space="preserve">owner hits taken</x:t>
  </x:si>
  <x:si>
    <x:t xml:space="preserve">% owner HP</x:t>
  </x:si>
  <x:si>
    <x:t xml:space="preserve">Reflects 30% of absorbed damage as cold.</x:t>
  </x:si>
  <x:si>
    <x:t xml:space="preserve">Party within 8 m get half the shield.</x:t>
  </x:si>
  <x:si>
    <x:t xml:space="preserve">Absorb shield exists for players (skills).</x:t>
  </x:si>
  <x:si>
    <x:t xml:space="preserve">skill\europe\wizard_eartha_guard_a</x:t>
  </x:si>
  <x:si>
    <x:t xml:space="preserve">Mana Spring</x:t>
  </x:si>
  <x:si>
    <x:t xml:space="preserve">Owner casts</x:t>
  </x:si>
  <x:si>
    <x:t xml:space="preserve">owner casts</x:t>
  </x:si>
  <x:si>
    <x:t xml:space="preserve">% MP</x:t>
  </x:si>
  <x:si>
    <x:t xml:space="preserve">Also restores half as much HP.</x:t>
  </x:si>
  <x:si>
    <x:t xml:space="preserve">The owner's next skill costs no MP.</x:t>
  </x:si>
  <x:si>
    <x:t xml:space="preserve">skill\europe\bard_recovera_mpheal_a</x:t>
  </x:si>
  <x:si>
    <x:t xml:space="preserve">Cold mastery</x:t>
  </x:si>
  <x:si>
    <x:t xml:space="preserve">Cold Mastery</x:t>
  </x:si>
  <x:si>
    <x:t xml:space="preserve">skill\europe\wizard_spiritp_cold_a</x:t>
  </x:si>
  <x:si>
    <x:t xml:space="preserve">Shatter</x:t>
  </x:si>
  <x:si>
    <x:t xml:space="preserve">skill\europe\wizard_mentala_damageup_a</x:t>
  </x:si>
  <x:si>
    <x:t xml:space="preserve">Chilling Touch</x:t>
  </x:si>
  <x:si>
    <x:t xml:space="preserve">Live (native frostbite). Ranks II and III planned.</x:t>
  </x:si>
  <x:si>
    <x:t xml:space="preserve">skill\europe\wizard_colda_invisible_a</x:t>
  </x:si>
  <x:si>
    <x:t xml:space="preserve">Elemental flow</x:t>
  </x:si>
  <x:si>
    <x:t xml:space="preserve">Static Feathers</x:t>
  </x:si>
  <x:si>
    <x:t xml:space="preserve">Live (shock chain as a target area). Rank II live; Rank III planned.</x:t>
  </x:si>
  <x:si>
    <x:t xml:space="preserve">skill\china\lightning_storm_c</x:t>
  </x:si>
  <x:si>
    <x:t xml:space="preserve">Spell Echo</x:t>
  </x:si>
  <x:si>
    <x:t xml:space="preserve">Spells</x:t>
  </x:si>
  <x:si>
    <x:t xml:space="preserve">spells</x:t>
  </x:si>
  <x:si>
    <x:t xml:space="preserve">% power</x:t>
  </x:si>
  <x:si>
    <x:t xml:space="preserve">Live (every Nth attack +{v}%). Rank II live; Rank III planned.</x:t>
  </x:si>
  <x:si>
    <x:t xml:space="preserve">skill\europe\wizard_psychica_light_a</x:t>
  </x:si>
  <x:si>
    <x:t xml:space="preserve">Arcane Haste</x:t>
  </x:si>
  <x:si>
    <x:t xml:space="preserve">skill\europe\wizard_manap_decrease_a</x:t>
  </x:si>
  <x:si>
    <x:t xml:space="preserve">Cold blood</x:t>
  </x:si>
  <x:si>
    <x:t xml:space="preserve">Frost Armor</x:t>
  </x:si>
  <x:si>
    <x:t xml:space="preserve">Live (defense part). Ranks II and III planned.</x:t>
  </x:si>
  <x:si>
    <x:t xml:space="preserve">skill\europe\wizard_eartha_guard_b</x:t>
  </x:si>
  <x:si>
    <x:t xml:space="preserve">Mana Shield</x:t>
  </x:si>
  <x:si>
    <x:t xml:space="preserve">1 MP absorbs 2 damage.</x:t>
  </x:si>
  <x:si>
    <x:t xml:space="preserve">Also covers the owner's damage.</x:t>
  </x:si>
  <x:si>
    <x:t xml:space="preserve">skill\europe\wizard_psychica_untouch_a</x:t>
  </x:si>
  <x:si>
    <x:t xml:space="preserve">Winter's Grace</x:t>
  </x:si>
  <x:si>
    <x:t xml:space="preserve">% resist</x:t>
  </x:si>
  <x:si>
    <x:t xml:space="preserve">Immune to freeze.</x:t>
  </x:si>
  <x:si>
    <x:t xml:space="preserve">Status resistance exists.</x:t>
  </x:si>
  <x:si>
    <x:t xml:space="preserve">skill\europe\cleric_sainta_abnormal_a</x:t>
  </x:si>
  <x:si>
    <x:t xml:space="preserve">Aid</x:t>
  </x:si>
  <x:si>
    <x:t xml:space="preserve">Mend</x:t>
  </x:si>
  <x:si>
    <x:t xml:space="preserve">skill\europe\cleric_heala_target_a</x:t>
  </x:si>
  <x:si>
    <x:t xml:space="preserve">Cleansing Caw</x:t>
  </x:si>
  <x:si>
    <x:t xml:space="preserve">statuses</x:t>
  </x:si>
  <x:si>
    <x:t xml:space="preserve">Party within 10 m.</x:t>
  </x:si>
  <x:si>
    <x:t xml:space="preserve">3 s immunity to statuses after the cleanse.</x:t>
  </x:si>
  <x:si>
    <x:t xml:space="preserve">Cure exists (cure items/skills).</x:t>
  </x:si>
  <x:si>
    <x:t xml:space="preserve">skill\europe\cleric_sainta_innocent_a</x:t>
  </x:si>
  <x:si>
    <x:t xml:space="preserve">Battle Cry</x:t>
  </x:si>
  <x:si>
    <x:t xml:space="preserve">Party within 15 m.</x:t>
  </x:si>
  <x:si>
    <x:t xml:space="preserve">Also +10% attack speed.</x:t>
  </x:si>
  <x:si>
    <x:t xml:space="preserve">Owner buff (timed effect).</x:t>
  </x:si>
  <x:si>
    <x:t xml:space="preserve">skill\europe\warrior_twohanda_cry_b</x:t>
  </x:si>
  <x:si>
    <x:t xml:space="preserve">Harass</x:t>
  </x:si>
  <x:si>
    <x:t xml:space="preserve">Mark Prey</x:t>
  </x:si>
  <x:si>
    <x:t xml:space="preserve">Live (native Decay and Weaken: defense down). Rank II live; Rank III planned.</x:t>
  </x:si>
  <x:si>
    <x:t xml:space="preserve">skill\europe\rog_stealtha_point_a</x:t>
  </x:si>
  <x:si>
    <x:t xml:space="preserve">Blinding Peck</x:t>
  </x:si>
  <x:si>
    <x:t xml:space="preserve">% miss</x:t>
  </x:si>
  <x:si>
    <x:t xml:space="preserve">Live (native Myopia). Rank II live; Rank III planned.</x:t>
  </x:si>
  <x:si>
    <x:t xml:space="preserve">skill\europe\warlock_confusiona_illusion_a</x:t>
  </x:si>
  <x:si>
    <x:t xml:space="preserve">Thieving Talons</x:t>
  </x:si>
  <x:si>
    <x:t xml:space="preserve">Can steal a potion instead.</x:t>
  </x:si>
  <x:si>
    <x:t xml:space="preserve">Rolls once more on the pet-gear drop table.</x:t>
  </x:si>
  <x:si>
    <x:t xml:space="preserve">Loot settlement exists.</x:t>
  </x:si>
  <x:si>
    <x:t xml:space="preserve">skill\europe\rog_daggera_slash_a</x:t>
  </x:si>
  <x:si>
    <x:t xml:space="preserve">Keen eye</x:t>
  </x:si>
  <x:si>
    <x:t xml:space="preserve">Scout's Eye</x:t>
  </x:si>
  <x:si>
    <x:t xml:space="preserve">% hit</x:t>
  </x:si>
  <x:si>
    <x:t xml:space="preserve">Reveals stealthed monsters near the owner.</x:t>
  </x:si>
  <x:si>
    <x:t xml:space="preserve">+5% owner critical chance.</x:t>
  </x:si>
  <x:si>
    <x:t xml:space="preserve">skill\europe\rog_stealtha_detect_a</x:t>
  </x:si>
  <x:si>
    <x:t xml:space="preserve">Carrion Feast</x:t>
  </x:si>
  <x:si>
    <x:t xml:space="preserve">skill\europe\warlock_confusiona_heal_a</x:t>
  </x:si>
  <x:si>
    <x:t xml:space="preserve">Feather Ward</x:t>
  </x:si>
  <x:si>
    <x:t xml:space="preserve">Also -10% status duration.</x:t>
  </x:si>
  <x:si>
    <x:t xml:space="preserve">skill\europe\cleric_blessa_physical_a</x:t>
  </x:si>
  <x:si>
    <x:t xml:space="preserve">Tailwind</x:t>
  </x:si>
  <x:si>
    <x:t xml:space="preserve">Fair Winds</x:t>
  </x:si>
  <x:si>
    <x:t xml:space="preserve">The crow too.</x:t>
  </x:si>
  <x:si>
    <x:t xml:space="preserve">Owner/party speed.</x:t>
  </x:si>
  <x:si>
    <x:t xml:space="preserve">skill\europe\bard_speedupa_mspeed_a</x:t>
  </x:si>
  <x:si>
    <x:t xml:space="preserve">Swift Wings</x:t>
  </x:si>
  <x:si>
    <x:t xml:space="preserve">skill\europe\bard_speedupa_hitrate_a</x:t>
  </x:si>
  <x:si>
    <x:t xml:space="preserve">Lucky Feather</x:t>
  </x:si>
  <x:si>
    <x:t xml:space="preserve">Live (pet gear drop odds). Ranks II and III planned.</x:t>
  </x:si>
  <x:si>
    <x:t xml:space="preserve">skill\europe\cleric_praisep_ability_a</x:t>
  </x:si>
  <x:si>
    <x:t xml:space="preserve">Omen</x:t>
  </x:si>
  <x:si>
    <x:t xml:space="preserve">Murder of Crows</x:t>
  </x:si>
  <x:si>
    <x:t xml:space="preserve">skill\europe\rog_bowa_fast_a</x:t>
  </x:si>
  <x:si>
    <x:t xml:space="preserve">Ill Omen</x:t>
  </x:si>
  <x:si>
    <x:t xml:space="preserve">Also -10% attack speed.</x:t>
  </x:si>
  <x:si>
    <x:t xml:space="preserve">Radius 10 m.</x:t>
  </x:si>
  <x:si>
    <x:t xml:space="preserve">Monster aura debuff.</x:t>
  </x:si>
  <x:si>
    <x:t xml:space="preserve">skill\europe\warlock_razea_physical_a</x:t>
  </x:si>
  <x:si>
    <x:t xml:space="preserve">Spirit Link</x:t>
  </x:si>
  <x:si>
    <x:t xml:space="preserve">% shared</x:t>
  </x:si>
  <x:si>
    <x:t xml:space="preserve">Shared damage is reduced by the crow's defense.</x:t>
  </x:si>
  <x:si>
    <x:t xml:space="preserve">If the crow would die it is left at 1 HP instead (60 s cooldown).</x:t>
  </x:si>
  <x:si>
    <x:t xml:space="preserve">Damage redirect.</x:t>
  </x:si>
  <x:si>
    <x:t xml:space="preserve">skill\europe\cleric_battlea_sacrifice_a</x:t>
  </x:si>
  <x:si>
    <x:t xml:space="preserve">Gear</x:t>
  </x:si>
  <x:si>
    <x:t xml:space="preserve">One equipment family worn by every pet: 3 slots, degrees D1-D9. White base stat from Rules; blues from Affixes.</x:t>
  </x:si>
  <x:si>
    <x:t xml:space="preserve">Degree</x:t>
  </x:si>
  <x:si>
    <x:t xml:space="preserve">Collar base</x:t>
  </x:si>
  <x:si>
    <x:t xml:space="preserve">Harness base</x:t>
  </x:si>
  <x:si>
    <x:t xml:space="preserve">Charm base</x:t>
  </x:si>
  <x:si>
    <x:t xml:space="preserve">Collar: damage +%</x:t>
  </x:si>
  <x:si>
    <x:t xml:space="preserve">Harness: defense +%</x:t>
  </x:si>
  <x:si>
    <x:t xml:space="preserve">Charm: cooldown -%</x:t>
  </x:si>
  <x:si>
    <x:t xml:space="preserve">Min pet level</x:t>
  </x:si>
  <x:si>
    <x:t xml:space="preserve">Collar codename</x:t>
  </x:si>
  <x:si>
    <x:t xml:space="preserve">Collar ID</x:t>
  </x:si>
  <x:si>
    <x:t xml:space="preserve">Harness codename</x:t>
  </x:si>
  <x:si>
    <x:t xml:space="preserve">Harness ID</x:t>
  </x:si>
  <x:si>
    <x:t xml:space="preserve">Charm codename</x:t>
  </x:si>
  <x:si>
    <x:t xml:space="preserve">Charm ID</x:t>
  </x:si>
  <x:si>
    <x:t xml:space="preserve">Rawhide Collar</x:t>
  </x:si>
  <x:si>
    <x:t xml:space="preserve">Rope Harness</x:t>
  </x:si>
  <x:si>
    <x:t xml:space="preserve">Bone Charm</x:t>
  </x:si>
  <x:si>
    <x:t xml:space="preserve">ITEM_COS_PET_COLLAR_01</x:t>
  </x:si>
  <x:si>
    <x:t xml:space="preserve">ITEM_COS_PET_HARNESS_01</x:t>
  </x:si>
  <x:si>
    <x:t xml:space="preserve">ITEM_COS_PET_CHARM_01</x:t>
  </x:si>
  <x:si>
    <x:t xml:space="preserve">Studded Collar</x:t>
  </x:si>
  <x:si>
    <x:t xml:space="preserve">Leather Harness</x:t>
  </x:si>
  <x:si>
    <x:t xml:space="preserve">Fang Charm</x:t>
  </x:si>
  <x:si>
    <x:t xml:space="preserve">ITEM_COS_PET_COLLAR_02</x:t>
  </x:si>
  <x:si>
    <x:t xml:space="preserve">ITEM_COS_PET_HARNESS_02</x:t>
  </x:si>
  <x:si>
    <x:t xml:space="preserve">ITEM_COS_PET_CHARM_02</x:t>
  </x:si>
  <x:si>
    <x:t xml:space="preserve">Bronze Collar</x:t>
  </x:si>
  <x:si>
    <x:t xml:space="preserve">Studded Harness</x:t>
  </x:si>
  <x:si>
    <x:t xml:space="preserve">Jade Charm</x:t>
  </x:si>
  <x:si>
    <x:t xml:space="preserve">ITEM_COS_PET_COLLAR_03</x:t>
  </x:si>
  <x:si>
    <x:t xml:space="preserve">ITEM_COS_PET_HARNESS_03</x:t>
  </x:si>
  <x:si>
    <x:t xml:space="preserve">ITEM_COS_PET_CHARM_03</x:t>
  </x:si>
  <x:si>
    <x:t xml:space="preserve">Iron Collar</x:t>
  </x:si>
  <x:si>
    <x:t xml:space="preserve">Scale Harness</x:t>
  </x:si>
  <x:si>
    <x:t xml:space="preserve">Amber Charm</x:t>
  </x:si>
  <x:si>
    <x:t xml:space="preserve">ITEM_COS_PET_COLLAR_04</x:t>
  </x:si>
  <x:si>
    <x:t xml:space="preserve">ITEM_COS_PET_HARNESS_04</x:t>
  </x:si>
  <x:si>
    <x:t xml:space="preserve">ITEM_COS_PET_CHARM_04</x:t>
  </x:si>
  <x:si>
    <x:t xml:space="preserve">Steel Collar</x:t>
  </x:si>
  <x:si>
    <x:t xml:space="preserve">Chain Harness</x:t>
  </x:si>
  <x:si>
    <x:t xml:space="preserve">Moonstone Charm</x:t>
  </x:si>
  <x:si>
    <x:t xml:space="preserve">ITEM_COS_PET_COLLAR_05</x:t>
  </x:si>
  <x:si>
    <x:t xml:space="preserve">ITEM_COS_PET_HARNESS_05</x:t>
  </x:si>
  <x:si>
    <x:t xml:space="preserve">ITEM_COS_PET_CHARM_05</x:t>
  </x:si>
  <x:si>
    <x:t xml:space="preserve">Silver Collar</x:t>
  </x:si>
  <x:si>
    <x:t xml:space="preserve">Plate Harness</x:t>
  </x:si>
  <x:si>
    <x:t xml:space="preserve">Sunstone Charm</x:t>
  </x:si>
  <x:si>
    <x:t xml:space="preserve">ITEM_COS_PET_COLLAR_06</x:t>
  </x:si>
  <x:si>
    <x:t xml:space="preserve">ITEM_COS_PET_HARNESS_06</x:t>
  </x:si>
  <x:si>
    <x:t xml:space="preserve">ITEM_COS_PET_CHARM_06</x:t>
  </x:si>
  <x:si>
    <x:t xml:space="preserve">Gilded Collar</x:t>
  </x:si>
  <x:si>
    <x:t xml:space="preserve">Gilded Harness</x:t>
  </x:si>
  <x:si>
    <x:t xml:space="preserve">Starstone Charm</x:t>
  </x:si>
  <x:si>
    <x:t xml:space="preserve">ITEM_COS_PET_COLLAR_07</x:t>
  </x:si>
  <x:si>
    <x:t xml:space="preserve">ITEM_COS_PET_HARNESS_07</x:t>
  </x:si>
  <x:si>
    <x:t xml:space="preserve">ITEM_COS_PET_CHARM_07</x:t>
  </x:si>
  <x:si>
    <x:t xml:space="preserve">Runed Collar</x:t>
  </x:si>
  <x:si>
    <x:t xml:space="preserve">Runed Harness</x:t>
  </x:si>
  <x:si>
    <x:t xml:space="preserve">Spirit Charm</x:t>
  </x:si>
  <x:si>
    <x:t xml:space="preserve">ITEM_COS_PET_COLLAR_08</x:t>
  </x:si>
  <x:si>
    <x:t xml:space="preserve">ITEM_COS_PET_HARNESS_08</x:t>
  </x:si>
  <x:si>
    <x:t xml:space="preserve">ITEM_COS_PET_CHARM_08</x:t>
  </x:si>
  <x:si>
    <x:t xml:space="preserve">Dragonbone Collar</x:t>
  </x:si>
  <x:si>
    <x:t xml:space="preserve">Dragonscale Harness</x:t>
  </x:si>
  <x:si>
    <x:t xml:space="preserve">Primal Charm</x:t>
  </x:si>
  <x:si>
    <x:t xml:space="preserve">ITEM_COS_PET_COLLAR_09</x:t>
  </x:si>
  <x:si>
    <x:t xml:space="preserve">ITEM_COS_PET_HARNESS_09</x:t>
  </x:si>
  <x:si>
    <x:t xml:space="preserve">ITEM_COS_PET_CHARM_09</x:t>
  </x:si>
  <x:si>
    <x:t xml:space="preserve">Slots: Collar (offense blues), Harness (defense blues), Charm (utility, skill and proc blues). Item names follow D2: [Prefix] Base [of Suffix], e.g. 'Savage Iron Collar of Storms'.</x:t>
  </x:si>
  <x:si>
    <x:t xml:space="preserve">Degrees</x:t>
  </x:si>
  <x:si>
    <x:t xml:space="preserve">Drop chance and blue odds per degree. A monster drops its level band's degree (uniques one higher).</x:t>
  </x:si>
  <x:si>
    <x:t xml:space="preserve">Monster level from</x:t>
  </x:si>
  <x:si>
    <x:t xml:space="preserve">Monster level to</x:t>
  </x:si>
  <x:si>
    <x:t xml:space="preserve">Drop % per kill (General)</x:t>
  </x:si>
  <x:si>
    <x:t xml:space="preserve">Champion %</x:t>
  </x:si>
  <x:si>
    <x:t xml:space="preserve">Giant %</x:t>
  </x:si>
  <x:si>
    <x:t xml:space="preserve">Unique %</x:t>
  </x:si>
  <x:si>
    <x:t xml:space="preserve">Magic chance</x:t>
  </x:si>
  <x:si>
    <x:t xml:space="preserve">Rare chance</x:t>
  </x:si>
  <x:si>
    <x:t xml:space="preserve">Normal chance</x:t>
  </x:si>
  <x:si>
    <x:t xml:space="preserve">Rare: 3 blues weight</x:t>
  </x:si>
  <x:si>
    <x:t xml:space="preserve">Rare: 4 blues weight</x:t>
  </x:si>
  <x:si>
    <x:t xml:space="preserve">Rare: 5 blues weight</x:t>
  </x:si>
  <x:si>
    <x:t xml:space="preserve">Expected blues per item</x:t>
  </x:si>
  <x:si>
    <x:t xml:space="preserve">Affix tiers available</x:t>
  </x:si>
  <x:si>
    <x:t xml:space="preserve">Pet level to wear: Min pet level = degree's Monster level from (column B), so pets and owners progress together.</x:t>
  </x:si>
  <x:si>
    <x:t xml:space="preserve">Affixes (blues)</x:t>
  </x:si>
  <x:si>
    <x:t xml:space="preserve">One affix per Group per item; a Tier rolls when its Min degree &lt;= item degree. {v} is a roll between Value min and max.</x:t>
  </x:si>
  <x:si>
    <x:t xml:space="preserve">Affix ID</x:t>
  </x:si>
  <x:si>
    <x:t xml:space="preserve">Name</x:t>
  </x:si>
  <x:si>
    <x:t xml:space="preserve">Kind</x:t>
  </x:si>
  <x:si>
    <x:t xml:space="preserve">Group</x:t>
  </x:si>
  <x:si>
    <x:t xml:space="preserve">Category</x:t>
  </x:si>
  <x:si>
    <x:t xml:space="preserve">Slots</x:t>
  </x:si>
  <x:si>
    <x:t xml:space="preserve">Tier</x:t>
  </x:si>
  <x:si>
    <x:t xml:space="preserve">Min degree</x:t>
  </x:si>
  <x:si>
    <x:t xml:space="preserve">Value min</x:t>
  </x:si>
  <x:si>
    <x:t xml:space="preserve">Value max</x:t>
  </x:si>
  <x:si>
    <x:t xml:space="preserve">Weight</x:t>
  </x:si>
  <x:si>
    <x:t xml:space="preserve">Code</x:t>
  </x:si>
  <x:si>
    <x:t xml:space="preserve">DmgPhys1</x:t>
  </x:si>
  <x:si>
    <x:t xml:space="preserve">Savage</x:t>
  </x:si>
  <x:si>
    <x:t xml:space="preserve">Prefix</x:t>
  </x:si>
  <x:si>
    <x:t xml:space="preserve">DmgPhys</x:t>
  </x:si>
  <x:si>
    <x:t xml:space="preserve">Offense</x:t>
  </x:si>
  <x:si>
    <x:t xml:space="preserve">Collar, Charm</x:t>
  </x:si>
  <x:si>
    <x:t xml:space="preserve">+{v}% physical damage</x:t>
  </x:si>
  <x:si>
    <x:t xml:space="preserve">%</x:t>
  </x:si>
  <x:si>
    <x:t xml:space="preserve">All</x:t>
  </x:si>
  <x:si>
    <x:t xml:space="preserve">Attack multiplier (as Predator).</x:t>
  </x:si>
  <x:si>
    <x:t xml:space="preserve">DmgPhys2</x:t>
  </x:si>
  <x:si>
    <x:t xml:space="preserve">Brutal</x:t>
  </x:si>
  <x:si>
    <x:t xml:space="preserve">DmgPhys3</x:t>
  </x:si>
  <x:si>
    <x:t xml:space="preserve">Ferocious</x:t>
  </x:si>
  <x:si>
    <x:t xml:space="preserve">DmgPhys4</x:t>
  </x:si>
  <x:si>
    <x:t xml:space="preserve">Merciless</x:t>
  </x:si>
  <x:si>
    <x:t xml:space="preserve">DmgMag1</x:t>
  </x:si>
  <x:si>
    <x:t xml:space="preserve">Sorcerous</x:t>
  </x:si>
  <x:si>
    <x:t xml:space="preserve">DmgMag</x:t>
  </x:si>
  <x:si>
    <x:t xml:space="preserve">+{v}% magic damage</x:t>
  </x:si>
  <x:si>
    <x:t xml:space="preserve">Magic attack multiplier.</x:t>
  </x:si>
  <x:si>
    <x:t xml:space="preserve">DmgMag2</x:t>
  </x:si>
  <x:si>
    <x:t xml:space="preserve">Arcane</x:t>
  </x:si>
  <x:si>
    <x:t xml:space="preserve">DmgMag3</x:t>
  </x:si>
  <x:si>
    <x:t xml:space="preserve">Mystic</x:t>
  </x:si>
  <x:si>
    <x:t xml:space="preserve">DmgMag4</x:t>
  </x:si>
  <x:si>
    <x:t xml:space="preserve">Eldritch</x:t>
  </x:si>
  <x:si>
    <x:t xml:space="preserve">Crit1</x:t>
  </x:si>
  <x:si>
    <x:t xml:space="preserve">Keen</x:t>
  </x:si>
  <x:si>
    <x:t xml:space="preserve">Crit</x:t>
  </x:si>
  <x:si>
    <x:t xml:space="preserve">Collar</x:t>
  </x:si>
  <x:si>
    <x:t xml:space="preserve">+{v}% critical chance</x:t>
  </x:si>
  <x:si>
    <x:t xml:space="preserve">Critical roll exists.</x:t>
  </x:si>
  <x:si>
    <x:t xml:space="preserve">Crit2</x:t>
  </x:si>
  <x:si>
    <x:t xml:space="preserve">Deadly</x:t>
  </x:si>
  <x:si>
    <x:t xml:space="preserve">Crit3</x:t>
  </x:si>
  <x:si>
    <x:t xml:space="preserve">Lethal</x:t>
  </x:si>
  <x:si>
    <x:t xml:space="preserve">Fire1</x:t>
  </x:si>
  <x:si>
    <x:t xml:space="preserve">Smoldering</x:t>
  </x:si>
  <x:si>
    <x:t xml:space="preserve">Fire</x:t>
  </x:si>
  <x:si>
    <x:t xml:space="preserve">Collar, Harness</x:t>
  </x:si>
  <x:si>
    <x:t xml:space="preserve">Adds {v} fire damage; 5% chance to burn</x:t>
  </x:si>
  <x:si>
    <x:t xml:space="preserve">damage</x:t>
  </x:si>
  <x:si>
    <x:t xml:space="preserve">Native burn status.</x:t>
  </x:si>
  <x:si>
    <x:t xml:space="preserve">Fire2</x:t>
  </x:si>
  <x:si>
    <x:t xml:space="preserve">Burning</x:t>
  </x:si>
  <x:si>
    <x:t xml:space="preserve">Fire3</x:t>
  </x:si>
  <x:si>
    <x:t xml:space="preserve">Blazing</x:t>
  </x:si>
  <x:si>
    <x:t xml:space="preserve">Fire4</x:t>
  </x:si>
  <x:si>
    <x:t xml:space="preserve">Infernal</x:t>
  </x:si>
  <x:si>
    <x:t xml:space="preserve">Cold1</x:t>
  </x:si>
  <x:si>
    <x:t xml:space="preserve">Chilling</x:t>
  </x:si>
  <x:si>
    <x:t xml:space="preserve">Cold</x:t>
  </x:si>
  <x:si>
    <x:t xml:space="preserve">Adds {v} cold damage; 5% chance to frostbite</x:t>
  </x:si>
  <x:si>
    <x:t xml:space="preserve">Native frostbite status.</x:t>
  </x:si>
  <x:si>
    <x:t xml:space="preserve">Cold2</x:t>
  </x:si>
  <x:si>
    <x:t xml:space="preserve">Frozen</x:t>
  </x:si>
  <x:si>
    <x:t xml:space="preserve">Cold3</x:t>
  </x:si>
  <x:si>
    <x:t xml:space="preserve">Glacial</x:t>
  </x:si>
  <x:si>
    <x:t xml:space="preserve">Cold4</x:t>
  </x:si>
  <x:si>
    <x:t xml:space="preserve">Hibernal</x:t>
  </x:si>
  <x:si>
    <x:t xml:space="preserve">Lightning1</x:t>
  </x:si>
  <x:si>
    <x:t xml:space="preserve">Static</x:t>
  </x:si>
  <x:si>
    <x:t xml:space="preserve">Lightning</x:t>
  </x:si>
  <x:si>
    <x:t xml:space="preserve">Adds 1-{v} lightning damage; 5% chance to shock</x:t>
  </x:si>
  <x:si>
    <x:t xml:space="preserve">Native shock status.</x:t>
  </x:si>
  <x:si>
    <x:t xml:space="preserve">Lightning2</x:t>
  </x:si>
  <x:si>
    <x:t xml:space="preserve">Shocking</x:t>
  </x:si>
  <x:si>
    <x:t xml:space="preserve">Lightning3</x:t>
  </x:si>
  <x:si>
    <x:t xml:space="preserve">Arcing</x:t>
  </x:si>
  <x:si>
    <x:t xml:space="preserve">Lightning4</x:t>
  </x:si>
  <x:si>
    <x:t xml:space="preserve">Thundering</x:t>
  </x:si>
  <x:si>
    <x:t xml:space="preserve">Poison1</x:t>
  </x:si>
  <x:si>
    <x:t xml:space="preserve">Septic</x:t>
  </x:si>
  <x:si>
    <x:t xml:space="preserve">Poison</x:t>
  </x:si>
  <x:si>
    <x:t xml:space="preserve">Adds {v} poison damage over 4 s</x:t>
  </x:si>
  <x:si>
    <x:t xml:space="preserve">Native poison status.</x:t>
  </x:si>
  <x:si>
    <x:t xml:space="preserve">Poison2</x:t>
  </x:si>
  <x:si>
    <x:t xml:space="preserve">Venomous</x:t>
  </x:si>
  <x:si>
    <x:t xml:space="preserve">Poison3</x:t>
  </x:si>
  <x:si>
    <x:t xml:space="preserve">Toxic</x:t>
  </x:si>
  <x:si>
    <x:t xml:space="preserve">Poison4</x:t>
  </x:si>
  <x:si>
    <x:t xml:space="preserve">Pestilent</x:t>
  </x:si>
  <x:si>
    <x:t xml:space="preserve">Leech1</x:t>
  </x:si>
  <x:si>
    <x:t xml:space="preserve">Vampiric</x:t>
  </x:si>
  <x:si>
    <x:t xml:space="preserve">Leech</x:t>
  </x:si>
  <x:si>
    <x:t xml:space="preserve">{v}% of damage dealt heals the pet</x:t>
  </x:si>
  <x:si>
    <x:t xml:space="preserve">Pet heal on committed hit.</x:t>
  </x:si>
  <x:si>
    <x:t xml:space="preserve">Leech2</x:t>
  </x:si>
  <x:si>
    <x:t xml:space="preserve">Bloodthirsty</x:t>
  </x:si>
  <x:si>
    <x:t xml:space="preserve">Leech3</x:t>
  </x:si>
  <x:si>
    <x:t xml:space="preserve">Sanguine</x:t>
  </x:si>
  <x:si>
    <x:t xml:space="preserve">Crush1</x:t>
  </x:si>
  <x:si>
    <x:t xml:space="preserve">Crushing</x:t>
  </x:si>
  <x:si>
    <x:t xml:space="preserve">Crush</x:t>
  </x:si>
  <x:si>
    <x:t xml:space="preserve">{v}% chance of a crushing blow (10% of current HP; 2.5% on bosses)</x:t>
  </x:si>
  <x:si>
    <x:t xml:space="preserve">Fatal path exists; new damage formula.</x:t>
  </x:si>
  <x:si>
    <x:t xml:space="preserve">Crush2</x:t>
  </x:si>
  <x:si>
    <x:t xml:space="preserve">Shattering</x:t>
  </x:si>
  <x:si>
    <x:t xml:space="preserve">Deadly1</x:t>
  </x:si>
  <x:si>
    <x:t xml:space="preserve">Fierce</x:t>
  </x:si>
  <x:si>
    <x:t xml:space="preserve">{v}% chance of double damage</x:t>
  </x:si>
  <x:si>
    <x:t xml:space="preserve">D2 deadly strike.</x:t>
  </x:si>
  <x:si>
    <x:t xml:space="preserve">Deadly2</x:t>
  </x:si>
  <x:si>
    <x:t xml:space="preserve">Murderous</x:t>
  </x:si>
  <x:si>
    <x:t xml:space="preserve">Pierce1</x:t>
  </x:si>
  <x:si>
    <x:t xml:space="preserve">Piercing</x:t>
  </x:si>
  <x:si>
    <x:t xml:space="preserve">Pierce</x:t>
  </x:si>
  <x:si>
    <x:t xml:space="preserve">Ignores {v}% of the target's defense</x:t>
  </x:si>
  <x:si>
    <x:t xml:space="preserve">Defense input to the formula.</x:t>
  </x:si>
  <x:si>
    <x:t xml:space="preserve">Pierce2</x:t>
  </x:si>
  <x:si>
    <x:t xml:space="preserve">Sundering</x:t>
  </x:si>
  <x:si>
    <x:t xml:space="preserve">Def1</x:t>
  </x:si>
  <x:si>
    <x:t xml:space="preserve">Sturdy</x:t>
  </x:si>
  <x:si>
    <x:t xml:space="preserve">Def</x:t>
  </x:si>
  <x:si>
    <x:t xml:space="preserve">Harness</x:t>
  </x:si>
  <x:si>
    <x:t xml:space="preserve">+{v}% physical and magical defense</x:t>
  </x:si>
  <x:si>
    <x:t xml:space="preserve">Defense multiplier (as Thick Hide).</x:t>
  </x:si>
  <x:si>
    <x:t xml:space="preserve">Def2</x:t>
  </x:si>
  <x:si>
    <x:t xml:space="preserve">Stalwart</x:t>
  </x:si>
  <x:si>
    <x:t xml:space="preserve">Def3</x:t>
  </x:si>
  <x:si>
    <x:t xml:space="preserve">Adamant</x:t>
  </x:si>
  <x:si>
    <x:t xml:space="preserve">Def4</x:t>
  </x:si>
  <x:si>
    <x:t xml:space="preserve">Unbreakable</x:t>
  </x:si>
  <x:si>
    <x:t xml:space="preserve">HP1</x:t>
  </x:si>
  <x:si>
    <x:t xml:space="preserve">Hale</x:t>
  </x:si>
  <x:si>
    <x:t xml:space="preserve">HP</x:t>
  </x:si>
  <x:si>
    <x:t xml:space="preserve">+{v}% max HP</x:t>
  </x:si>
  <x:si>
    <x:t xml:space="preserve">COS max HP parameter.</x:t>
  </x:si>
  <x:si>
    <x:t xml:space="preserve">HP2</x:t>
  </x:si>
  <x:si>
    <x:t xml:space="preserve">Vigorous</x:t>
  </x:si>
  <x:si>
    <x:t xml:space="preserve">HP3</x:t>
  </x:si>
  <x:si>
    <x:t xml:space="preserve">Titanic</x:t>
  </x:si>
  <x:si>
    <x:t xml:space="preserve">HP4</x:t>
  </x:si>
  <x:si>
    <x:t xml:space="preserve">Colossal</x:t>
  </x:si>
  <x:si>
    <x:t xml:space="preserve">Thorns1</x:t>
  </x:si>
  <x:si>
    <x:t xml:space="preserve">Bramble</x:t>
  </x:si>
  <x:si>
    <x:t xml:space="preserve">Attackers take {v} damage</x:t>
  </x:si>
  <x:si>
    <x:t xml:space="preserve">Damage return exists for players.</x:t>
  </x:si>
  <x:si>
    <x:t xml:space="preserve">Thorns2</x:t>
  </x:si>
  <x:si>
    <x:t xml:space="preserve">Thorned</x:t>
  </x:si>
  <x:si>
    <x:t xml:space="preserve">Thorns3</x:t>
  </x:si>
  <x:si>
    <x:t xml:space="preserve">Razorback</x:t>
  </x:si>
  <x:si>
    <x:t xml:space="preserve">Speed1</x:t>
  </x:si>
  <x:si>
    <x:t xml:space="preserve">of Haste</x:t>
  </x:si>
  <x:si>
    <x:t xml:space="preserve">Suffix</x:t>
  </x:si>
  <x:si>
    <x:t xml:space="preserve">Speed</x:t>
  </x:si>
  <x:si>
    <x:t xml:space="preserve">Collar, Harness, Charm</x:t>
  </x:si>
  <x:si>
    <x:t xml:space="preserve">+{v}% attack speed</x:t>
  </x:si>
  <x:si>
    <x:t xml:space="preserve">Pet action speed parameter.</x:t>
  </x:si>
  <x:si>
    <x:t xml:space="preserve">Speed2</x:t>
  </x:si>
  <x:si>
    <x:t xml:space="preserve">of Swiftness</x:t>
  </x:si>
  <x:si>
    <x:t xml:space="preserve">Speed3</x:t>
  </x:si>
  <x:si>
    <x:t xml:space="preserve">of Alacrity</x:t>
  </x:si>
  <x:si>
    <x:t xml:space="preserve">Move1</x:t>
  </x:si>
  <x:si>
    <x:t xml:space="preserve">of the Fox</x:t>
  </x:si>
  <x:si>
    <x:t xml:space="preserve">Move</x:t>
  </x:si>
  <x:si>
    <x:t xml:space="preserve">Harness, Charm</x:t>
  </x:si>
  <x:si>
    <x:t xml:space="preserve">+{v}% pet movement speed</x:t>
  </x:si>
  <x:si>
    <x:t xml:space="preserve">COS run speed parameter.</x:t>
  </x:si>
  <x:si>
    <x:t xml:space="preserve">Move2</x:t>
  </x:si>
  <x:si>
    <x:t xml:space="preserve">of the Hare</x:t>
  </x:si>
  <x:si>
    <x:t xml:space="preserve">Move3</x:t>
  </x:si>
  <x:si>
    <x:t xml:space="preserve">of the Cheetah</x:t>
  </x:si>
  <x:si>
    <x:t xml:space="preserve">OwnerMove1</x:t>
  </x:si>
  <x:si>
    <x:t xml:space="preserve">of the Pack</x:t>
  </x:si>
  <x:si>
    <x:t xml:space="preserve">OwnerMove</x:t>
  </x:si>
  <x:si>
    <x:t xml:space="preserve">Charm</x:t>
  </x:si>
  <x:si>
    <x:t xml:space="preserve">+{v}% owner movement speed while the pet is out</x:t>
  </x:si>
  <x:si>
    <x:t xml:space="preserve">Owner speed parameter.</x:t>
  </x:si>
  <x:si>
    <x:t xml:space="preserve">OwnerMove2</x:t>
  </x:si>
  <x:si>
    <x:t xml:space="preserve">of the Wind</x:t>
  </x:si>
  <x:si>
    <x:t xml:space="preserve">Resist1</x:t>
  </x:si>
  <x:si>
    <x:t xml:space="preserve">of Warding</x:t>
  </x:si>
  <x:si>
    <x:t xml:space="preserve">Resist</x:t>
  </x:si>
  <x:si>
    <x:t xml:space="preserve">+{v}% resistance to all statuses</x:t>
  </x:si>
  <x:si>
    <x:t xml:space="preserve">Resist2</x:t>
  </x:si>
  <x:si>
    <x:t xml:space="preserve">of Shelter</x:t>
  </x:si>
  <x:si>
    <x:t xml:space="preserve">Resist3</x:t>
  </x:si>
  <x:si>
    <x:t xml:space="preserve">of Sanctuary</x:t>
  </x:si>
  <x:si>
    <x:t xml:space="preserve">Regen1</x:t>
  </x:si>
  <x:si>
    <x:t xml:space="preserve">of Regrowth</x:t>
  </x:si>
  <x:si>
    <x:t xml:space="preserve">Regen</x:t>
  </x:si>
  <x:si>
    <x:t xml:space="preserve">Regenerates {v} HP every 2 s</x:t>
  </x:si>
  <x:si>
    <x:t xml:space="preserve">COS recovery.</x:t>
  </x:si>
  <x:si>
    <x:t xml:space="preserve">Regen2</x:t>
  </x:si>
  <x:si>
    <x:t xml:space="preserve">of Renewal</x:t>
  </x:si>
  <x:si>
    <x:t xml:space="preserve">Regen3</x:t>
  </x:si>
  <x:si>
    <x:t xml:space="preserve">of the Troll</x:t>
  </x:si>
  <x:si>
    <x:t xml:space="preserve">Steady1</x:t>
  </x:si>
  <x:si>
    <x:t xml:space="preserve">of Balance</x:t>
  </x:si>
  <x:si>
    <x:t xml:space="preserve">Steady</x:t>
  </x:si>
  <x:si>
    <x:t xml:space="preserve">{v}% chance to ignore knockdown and stun</x:t>
  </x:si>
  <x:si>
    <x:t xml:space="preserve">Status admission roll.</x:t>
  </x:si>
  <x:si>
    <x:t xml:space="preserve">Steady2</x:t>
  </x:si>
  <x:si>
    <x:t xml:space="preserve">of the Mountain</x:t>
  </x:si>
  <x:si>
    <x:t xml:space="preserve">TreeBear1</x:t>
  </x:si>
  <x:si>
    <x:t xml:space="preserve">of the Guardian</x:t>
  </x:si>
  <x:si>
    <x:t xml:space="preserve">TreeBear</x:t>
  </x:si>
  <x:si>
    <x:t xml:space="preserve">+{v} to all Bear skills</x:t>
  </x:si>
  <x:si>
    <x:t xml:space="preserve">D2 '+skills'; may exceed max level.</x:t>
  </x:si>
  <x:si>
    <x:t xml:space="preserve">TreeBear2</x:t>
  </x:si>
  <x:si>
    <x:t xml:space="preserve">of the Bulwark</x:t>
  </x:si>
  <x:si>
    <x:t xml:space="preserve">TreeWolf1</x:t>
  </x:si>
  <x:si>
    <x:t xml:space="preserve">of the Hunter</x:t>
  </x:si>
  <x:si>
    <x:t xml:space="preserve">TreeWolf</x:t>
  </x:si>
  <x:si>
    <x:t xml:space="preserve">+{v} to all Wolf skills</x:t>
  </x:si>
  <x:si>
    <x:t xml:space="preserve">D2 '+skills'.</x:t>
  </x:si>
  <x:si>
    <x:t xml:space="preserve">TreeWolf2</x:t>
  </x:si>
  <x:si>
    <x:t xml:space="preserve">of the Alpha</x:t>
  </x:si>
  <x:si>
    <x:t xml:space="preserve">TreePenguin1</x:t>
  </x:si>
  <x:si>
    <x:t xml:space="preserve">of the Sage</x:t>
  </x:si>
  <x:si>
    <x:t xml:space="preserve">TreePenguin</x:t>
  </x:si>
  <x:si>
    <x:t xml:space="preserve">+{v} to all Penguin skills</x:t>
  </x:si>
  <x:si>
    <x:t xml:space="preserve">TreePenguin2</x:t>
  </x:si>
  <x:si>
    <x:t xml:space="preserve">of the Glacier</x:t>
  </x:si>
  <x:si>
    <x:t xml:space="preserve">TreeCrow1</x:t>
  </x:si>
  <x:si>
    <x:t xml:space="preserve">of the Oracle</x:t>
  </x:si>
  <x:si>
    <x:t xml:space="preserve">TreeCrow</x:t>
  </x:si>
  <x:si>
    <x:t xml:space="preserve">+{v} to all Crow skills</x:t>
  </x:si>
  <x:si>
    <x:t xml:space="preserve">TreeCrow2</x:t>
  </x:si>
  <x:si>
    <x:t xml:space="preserve">of the Raven King</x:t>
  </x:si>
  <x:si>
    <x:t xml:space="preserve">OneSkill1</x:t>
  </x:si>
  <x:si>
    <x:t xml:space="preserve">of Focus</x:t>
  </x:si>
  <x:si>
    <x:t xml:space="preserve">OneSkill</x:t>
  </x:si>
  <x:si>
    <x:t xml:space="preserve">+{v} to one random skill of the pet type</x:t>
  </x:si>
  <x:si>
    <x:t xml:space="preserve">Skill named on the item at roll time.</x:t>
  </x:si>
  <x:si>
    <x:t xml:space="preserve">OneSkill2</x:t>
  </x:si>
  <x:si>
    <x:t xml:space="preserve">of Devotion</x:t>
  </x:si>
  <x:si>
    <x:t xml:space="preserve">OneSkill3</x:t>
  </x:si>
  <x:si>
    <x:t xml:space="preserve">of Mastery</x:t>
  </x:si>
  <x:si>
    <x:t xml:space="preserve">Cooldown1</x:t>
  </x:si>
  <x:si>
    <x:t xml:space="preserve">of Quickening</x:t>
  </x:si>
  <x:si>
    <x:t xml:space="preserve">Cooldown</x:t>
  </x:si>
  <x:si>
    <x:t xml:space="preserve">Skill cooldowns -{v}%</x:t>
  </x:si>
  <x:si>
    <x:t xml:space="preserve">Applies to timer and counter cooldowns.</x:t>
  </x:si>
  <x:si>
    <x:t xml:space="preserve">Cooldown2</x:t>
  </x:si>
  <x:si>
    <x:t xml:space="preserve">of Celerity</x:t>
  </x:si>
  <x:si>
    <x:t xml:space="preserve">Cooldown3</x:t>
  </x:si>
  <x:si>
    <x:t xml:space="preserve">of Timelessness</x:t>
  </x:si>
  <x:si>
    <x:t xml:space="preserve">Hunger1</x:t>
  </x:si>
  <x:si>
    <x:t xml:space="preserve">of Satiation</x:t>
  </x:si>
  <x:si>
    <x:t xml:space="preserve">Hunger</x:t>
  </x:si>
  <x:si>
    <x:t xml:space="preserve">Utility</x:t>
  </x:si>
  <x:si>
    <x:t xml:space="preserve">Charm, Harness</x:t>
  </x:si>
  <x:si>
    <x:t xml:space="preserve">-{v}% hunger (HGP) drain</x:t>
  </x:si>
  <x:si>
    <x:t xml:space="preserve">Satiety tick.</x:t>
  </x:si>
  <x:si>
    <x:t xml:space="preserve">Hunger2</x:t>
  </x:si>
  <x:si>
    <x:t xml:space="preserve">of Plenty</x:t>
  </x:si>
  <x:si>
    <x:t xml:space="preserve">PetExp1</x:t>
  </x:si>
  <x:si>
    <x:t xml:space="preserve">of Learning</x:t>
  </x:si>
  <x:si>
    <x:t xml:space="preserve">PetExp</x:t>
  </x:si>
  <x:si>
    <x:t xml:space="preserve">+{v}% pet experience</x:t>
  </x:si>
  <x:si>
    <x:t xml:space="preserve">Pet EXP pace.</x:t>
  </x:si>
  <x:si>
    <x:t xml:space="preserve">PetExp2</x:t>
  </x:si>
  <x:si>
    <x:t xml:space="preserve">of Wisdom</x:t>
  </x:si>
  <x:si>
    <x:t xml:space="preserve">Find1</x:t>
  </x:si>
  <x:si>
    <x:t xml:space="preserve">of Fortune</x:t>
  </x:si>
  <x:si>
    <x:t xml:space="preserve">Find</x:t>
  </x:si>
  <x:si>
    <x:t xml:space="preserve">+{v}% chance that pet equipment drops are magic or better</x:t>
  </x:si>
  <x:si>
    <x:t xml:space="preserve">D2 magic find, pet gear only.</x:t>
  </x:si>
  <x:si>
    <x:t xml:space="preserve">Find2</x:t>
  </x:si>
  <x:si>
    <x:t xml:space="preserve">of Riches</x:t>
  </x:si>
  <x:si>
    <x:t xml:space="preserve">ProcChain1</x:t>
  </x:si>
  <x:si>
    <x:t xml:space="preserve">of Storms</x:t>
  </x:si>
  <x:si>
    <x:t xml:space="preserve">ProcChain</x:t>
  </x:si>
  <x:si>
    <x:t xml:space="preserve">Proc</x:t>
  </x:si>
  <x:si>
    <x:t xml:space="preserve">{v}% chance to cast Chain Lightning on striking (level = 2 x degree)</x:t>
  </x:si>
  <x:si>
    <x:t xml:space="preserve">Proc engine; see Procs.</x:t>
  </x:si>
  <x:si>
    <x:t xml:space="preserve">ProcChain2</x:t>
  </x:si>
  <x:si>
    <x:t xml:space="preserve">of the Tempest</x:t>
  </x:si>
  <x:si>
    <x:t xml:space="preserve">ProcChain3</x:t>
  </x:si>
  <x:si>
    <x:t xml:space="preserve">of Thunder Gods</x:t>
  </x:si>
  <x:si>
    <x:t xml:space="preserve">ProcNova1</x:t>
  </x:si>
  <x:si>
    <x:t xml:space="preserve">of Winter</x:t>
  </x:si>
  <x:si>
    <x:t xml:space="preserve">ProcNova</x:t>
  </x:si>
  <x:si>
    <x:t xml:space="preserve">{v}% chance to cast Frost Nova when struck (level = 2 x degree)</x:t>
  </x:si>
  <x:si>
    <x:t xml:space="preserve">Proc engine.</x:t>
  </x:si>
  <x:si>
    <x:t xml:space="preserve">ProcNova2</x:t>
  </x:si>
  <x:si>
    <x:t xml:space="preserve">ProcNova3</x:t>
  </x:si>
  <x:si>
    <x:t xml:space="preserve">of the Frozen North</x:t>
  </x:si>
  <x:si>
    <x:t xml:space="preserve">ProcFire1</x:t>
  </x:si>
  <x:si>
    <x:t xml:space="preserve">of Embers</x:t>
  </x:si>
  <x:si>
    <x:t xml:space="preserve">ProcFire</x:t>
  </x:si>
  <x:si>
    <x:t xml:space="preserve">{v}% chance to cast Fire Burst on striking</x:t>
  </x:si>
  <x:si>
    <x:t xml:space="preserve">ProcFire2</x:t>
  </x:si>
  <x:si>
    <x:t xml:space="preserve">of the Inferno</x:t>
  </x:si>
  <x:si>
    <x:t xml:space="preserve">ProcPoison1</x:t>
  </x:si>
  <x:si>
    <x:t xml:space="preserve">of Plague</x:t>
  </x:si>
  <x:si>
    <x:t xml:space="preserve">ProcPoison</x:t>
  </x:si>
  <x:si>
    <x:t xml:space="preserve">{v}% chance to cast Poison Cloud when struck</x:t>
  </x:si>
  <x:si>
    <x:t xml:space="preserve">ProcPoison2</x:t>
  </x:si>
  <x:si>
    <x:t xml:space="preserve">of Pestilence</x:t>
  </x:si>
  <x:si>
    <x:t xml:space="preserve">ProcHowl1</x:t>
  </x:si>
  <x:si>
    <x:t xml:space="preserve">of Terror</x:t>
  </x:si>
  <x:si>
    <x:t xml:space="preserve">ProcHowl</x:t>
  </x:si>
  <x:si>
    <x:t xml:space="preserve">{v}% chance to cast Terror (fear) when struck</x:t>
  </x:si>
  <x:si>
    <x:t xml:space="preserve">Proc engine; fear AI.</x:t>
  </x:si>
  <x:si>
    <x:t xml:space="preserve">ProcHowl2</x:t>
  </x:si>
  <x:si>
    <x:t xml:space="preserve">of Dread</x:t>
  </x:si>
  <x:si>
    <x:t xml:space="preserve">ProcMend1</x:t>
  </x:si>
  <x:si>
    <x:t xml:space="preserve">of Mercy</x:t>
  </x:si>
  <x:si>
    <x:t xml:space="preserve">ProcMend</x:t>
  </x:si>
  <x:si>
    <x:t xml:space="preserve">{v}% chance to cast Mend on the owner on striking</x:t>
  </x:si>
  <x:si>
    <x:t xml:space="preserve">ProcMend2</x:t>
  </x:si>
  <x:si>
    <x:t xml:space="preserve">of Grace</x:t>
  </x:si>
  <x:si>
    <x:t xml:space="preserve">ProcCorpse1</x:t>
  </x:si>
  <x:si>
    <x:t xml:space="preserve">of Ruin</x:t>
  </x:si>
  <x:si>
    <x:t xml:space="preserve">ProcCorpse</x:t>
  </x:si>
  <x:si>
    <x:t xml:space="preserve">{v}% chance on a kill to cast Corpse Burst</x:t>
  </x:si>
  <x:si>
    <x:t xml:space="preserve">Proc engine; on-kill hook.</x:t>
  </x:si>
  <x:si>
    <x:t xml:space="preserve">ProcCorpse2</x:t>
  </x:si>
  <x:si>
    <x:t xml:space="preserve">of Carnage</x:t>
  </x:si>
  <x:si>
    <x:t xml:space="preserve">Phoenix1</x:t>
  </x:si>
  <x:si>
    <x:t xml:space="preserve">of the Phoenix</x:t>
  </x:si>
  <x:si>
    <x:t xml:space="preserve">Phoenix</x:t>
  </x:si>
  <x:si>
    <x:t xml:space="preserve">{v}% chance to revive at 30% HP on death (once per 5 min)</x:t>
  </x:si>
  <x:si>
    <x:t xml:space="preserve">Pet death path; very rare.</x:t>
  </x:si>
  <x:si>
    <x:t xml:space="preserve">Affixes per slot (formula):</x:t>
  </x:si>
  <x:si>
    <x:t xml:space="preserve">Procs</x:t>
  </x:si>
  <x:si>
    <x:t xml:space="preserve">Skills that affixes ('chance to cast') and some pet skills call. Level comes from the affix (2 x degree) or the pet skill level.</x:t>
  </x:si>
  <x:si>
    <x:t xml:space="preserve">Value at level 1</x:t>
  </x:si>
  <x:si>
    <x:t xml:space="preserve">Value at level 18 (D9)</x:t>
  </x:si>
  <x:si>
    <x:t xml:space="preserve">Radius / targets</x:t>
  </x:si>
  <x:si>
    <x:t xml:space="preserve">Visual reuse</x:t>
  </x:si>
  <x:si>
    <x:t xml:space="preserve">Chain Lightning</x:t>
  </x:si>
  <x:si>
    <x:t xml:space="preserve">Lightning that jumps between enemies for {v} damage each.</x:t>
  </x:si>
  <x:si>
    <x:t xml:space="preserve">3 + level/3 jumps, 8 m</x:t>
  </x:si>
  <x:si>
    <x:t xml:space="preserve">Native lightning chain skill effect</x:t>
  </x:si>
  <x:si>
    <x:t xml:space="preserve">Multi-target chain; shock status.</x:t>
  </x:si>
  <x:si>
    <x:t xml:space="preserve">Cold burst around the pet for {v} damage, frostbite 3 s.</x:t>
  </x:si>
  <x:si>
    <x:t xml:space="preserve">5 m</x:t>
  </x:si>
  <x:si>
    <x:t xml:space="preserve">Native cold area effect</x:t>
  </x:si>
  <x:si>
    <x:t xml:space="preserve">Area candidates exist.</x:t>
  </x:si>
  <x:si>
    <x:t xml:space="preserve">Fire Burst</x:t>
  </x:si>
  <x:si>
    <x:t xml:space="preserve">Flames on the target for {v} damage, burn 4 s.</x:t>
  </x:si>
  <x:si>
    <x:t xml:space="preserve">3 m around target</x:t>
  </x:si>
  <x:si>
    <x:t xml:space="preserve">Native fire burst effect</x:t>
  </x:si>
  <x:si>
    <x:t xml:space="preserve">Burn status exists.</x:t>
  </x:si>
  <x:si>
    <x:t xml:space="preserve">Poison Cloud</x:t>
  </x:si>
  <x:si>
    <x:t xml:space="preserve">Cloud around the pet: {v} poison damage over 5 s.</x:t>
  </x:si>
  <x:si>
    <x:t xml:space="preserve">4 m</x:t>
  </x:si>
  <x:si>
    <x:t xml:space="preserve">Native poison effect</x:t>
  </x:si>
  <x:si>
    <x:t xml:space="preserve">Poison status exists.</x:t>
  </x:si>
  <x:si>
    <x:t xml:space="preserve">Terror</x:t>
  </x:si>
  <x:si>
    <x:t xml:space="preserve">Up to {v} monsters near the pet flee for 2 s.</x:t>
  </x:si>
  <x:si>
    <x:t xml:space="preserve">6 m</x:t>
  </x:si>
  <x:si>
    <x:t xml:space="preserve">Pet emote0 + fear icon</x:t>
  </x:si>
  <x:si>
    <x:t xml:space="preserve">Flee AI state (shared with Terrifying Howl).</x:t>
  </x:si>
  <x:si>
    <x:t xml:space="preserve">Heals the owner {v}% of max HP.</x:t>
  </x:si>
  <x:si>
    <x:t xml:space="preserve">Owner</x:t>
  </x:si>
  <x:si>
    <x:t xml:space="preserve">Native heal effect</x:t>
  </x:si>
  <x:si>
    <x:t xml:space="preserve">Heal on the owner.</x:t>
  </x:si>
  <x:si>
    <x:t xml:space="preserve">Corpse Burst</x:t>
  </x:si>
  <x:si>
    <x:t xml:space="preserve">The slain monster explodes for {v}% of its max HP to enemies within 4 m.</x:t>
  </x:si>
  <x:si>
    <x:t xml:space="preserve">% of HP</x:t>
  </x:si>
  <x:si>
    <x:t xml:space="preserve">Native explosion effect</x:t>
  </x:si>
  <x:si>
    <x:t xml:space="preserve">On-kill hook in kill settlement.</x:t>
  </x:si>
</x:sst>
</file>

<file path=xl/styles.xml><?xml version="1.0" encoding="utf-8"?>
<x:styleSheet xmlns:x="http://schemas.openxmlformats.org/spreadsheetml/2006/main">
  <x:numFmts count="5">
    <x:numFmt numFmtId="164" formatCode="General"/>
    <x:numFmt numFmtId="165" formatCode="0%"/>
    <x:numFmt numFmtId="166" formatCode="0.00%"/>
    <x:numFmt numFmtId="167" formatCode="0.00"/>
    <x:numFmt numFmtId="200" formatCode="0.0%"/>
  </x:numFmts>
  <x:fonts count="16">
    <x:font>
      <x:sz val="11"/>
      <x:color theme="1"/>
      <x:name val="Calibri"/>
      <x:family val="2"/>
    </x:font>
    <x:font>
      <x:sz val="10"/>
      <x:name val="Arial"/>
    </x:font>
    <x:font>
      <x:sz val="10"/>
      <x:name val="Arial"/>
    </x:font>
    <x:font>
      <x:sz val="10"/>
      <x:name val="Arial"/>
    </x:font>
    <x:font>
      <x:b/>
      <x:sz val="14"/>
      <x:name val="Arial"/>
    </x:font>
    <x:font>
      <x:i/>
      <x:sz val="10"/>
      <x:color rgb="FF595959"/>
      <x:name val="Arial"/>
    </x:font>
    <x:font>
      <x:b/>
      <x:sz val="11"/>
      <x:name val="Arial"/>
    </x:font>
    <x:font>
      <x:sz val="11"/>
      <x:name val="Arial"/>
    </x:font>
    <x:font>
      <x:b/>
      <x:sz val="12"/>
      <x:name val="Arial"/>
    </x:font>
    <x:font>
      <x:b/>
      <x:sz val="11"/>
      <x:color rgb="FFFFFFFF"/>
      <x:name val="Arial"/>
    </x:font>
    <x:font>
      <x:sz val="10"/>
      <x:color rgb="FF0000FF"/>
      <x:name val="Arial"/>
    </x:font>
    <x:font>
      <x:sz val="10"/>
      <x:color rgb="FF000000"/>
      <x:name val="Arial"/>
    </x:font>
    <x:font>
      <x:i/>
      <x:sz val="9"/>
      <x:name val="Arial"/>
    </x:font>
    <x:font>
      <x:sz val="10"/>
      <x:name val="Arial"/>
      <x:family val="2"/>
    </x:font>
    <x:font>
      <x:sz val="10"/>
      <x:name val="Arial"/>
    </x:font>
    <x:font>
      <x:sz val="11"/>
      <x:color rgb="FFFFFFFF"/>
      <x:name val="Calibri"/>
      <x:family val="2"/>
    </x:font>
  </x:fonts>
  <x:fills count="10">
    <x:fill>
      <x:patternFill patternType="none"/>
    </x:fill>
    <x:fill>
      <x:patternFill patternType="gray125"/>
    </x:fill>
    <x:fill>
      <x:patternFill patternType="solid">
        <x:fgColor rgb="FF1F3864"/>
      </x:patternFill>
    </x:fill>
    <x:fill>
      <x:patternFill patternType="solid">
        <x:fgColor rgb="FFFFF2CC"/>
      </x:patternFill>
    </x:fill>
    <x:fill>
      <x:patternFill patternType="solid">
        <x:fgColor rgb="FFF2F2F2"/>
      </x:patternFill>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7365D"/>
      </x:patternFill>
    </x:fill>
  </x:fills>
  <x:borders count="2">
    <x:border diagonalUp="0" diagonalDown="0">
      <x:left/>
      <x:right/>
      <x:top/>
      <x:bottom/>
      <x:diagonal/>
    </x:border>
    <x:border diagonalUp="0" diagonalDown="0">
      <x:left style="thin">
        <x:color rgb="FFBFBFBF"/>
      </x:left>
      <x:right style="thin">
        <x:color rgb="FFBFBFBF"/>
      </x:right>
      <x:top style="thin">
        <x:color rgb="FFBFBFBF"/>
      </x:top>
      <x:bottom style="thin">
        <x:color rgb="FFBFBFBF"/>
      </x:bottom>
      <x:diagonal/>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34">
    <x:xf numFmtId="164" fontId="0" fillId="0" borderId="0" xfId="0" applyFont="0" applyBorder="0" applyAlignment="0" applyProtection="0">
      <x:alignment horizontal="general" vertical="bottom" wrapText="0" shrinkToFit="0"/>
      <x:protection locked="1" hidden="0"/>
    </x:xf>
    <x:xf numFmtId="164" fontId="0" fillId="0" borderId="0" xfId="0" applyFont="0" applyBorder="0" applyAlignment="1" applyProtection="0">
      <x:alignment horizontal="general" vertical="bottom" wrapText="0" shrinkToFit="0"/>
      <x:protection locked="1" hidden="0"/>
    </x:xf>
    <x:xf numFmtId="164" fontId="4" fillId="0" borderId="0" xfId="0" applyFont="1" applyBorder="0" applyAlignment="1" applyProtection="0">
      <x:alignment horizontal="general" vertical="bottom" wrapText="0" shrinkToFit="0"/>
      <x:protection locked="1" hidden="0"/>
    </x:xf>
    <x:xf numFmtId="164" fontId="5" fillId="0" borderId="0" xfId="0" applyFont="1" applyBorder="0" applyAlignment="1" applyProtection="0">
      <x:alignment horizontal="general" vertical="bottom" wrapText="0" shrinkToFit="0"/>
      <x:protection locked="1" hidden="0"/>
    </x:xf>
    <x:xf numFmtId="164" fontId="6" fillId="0" borderId="0" xfId="0" applyFont="1" applyBorder="0" applyAlignment="1" applyProtection="0">
      <x:alignment horizontal="general" vertical="bottom" wrapText="0" shrinkToFit="0"/>
      <x:protection locked="1" hidden="0"/>
    </x:xf>
    <x:xf numFmtId="164" fontId="7" fillId="0" borderId="0" xfId="0" applyFont="1" applyBorder="0" applyAlignment="1" applyProtection="0">
      <x:alignment horizontal="general" vertical="top" wrapText="1" shrinkToFit="0"/>
      <x:protection locked="1" hidden="0"/>
    </x:xf>
    <x:xf numFmtId="164" fontId="8" fillId="0" borderId="0" xfId="0" applyFont="1" applyBorder="0" applyAlignment="1" applyProtection="0">
      <x:alignment horizontal="general" vertical="bottom" wrapText="0" shrinkToFit="0"/>
      <x:protection locked="1" hidden="0"/>
    </x:xf>
    <x:xf numFmtId="164" fontId="9" fillId="2" borderId="1" xfId="0" applyFont="1" applyBorder="1" applyAlignment="1" applyProtection="0">
      <x:alignment horizontal="general" vertical="center" wrapText="1" shrinkToFit="0"/>
      <x:protection locked="1" hidden="0"/>
    </x:xf>
    <x:xf numFmtId="164" fontId="10" fillId="3" borderId="1" xfId="0" applyFont="1" applyBorder="1" applyAlignment="1" applyProtection="0">
      <x:alignment horizontal="general" vertical="top" wrapText="0" shrinkToFit="0"/>
      <x:protection locked="1" hidden="0"/>
    </x:xf>
    <x:xf numFmtId="164" fontId="10" fillId="3" borderId="1" xfId="0" applyFont="1" applyBorder="1" applyAlignment="1" applyProtection="0">
      <x:alignment horizontal="general" vertical="top" wrapText="1" shrinkToFit="0"/>
      <x:protection locked="1" hidden="0"/>
    </x:xf>
    <x:xf numFmtId="164" fontId="11" fillId="0" borderId="1" xfId="0" applyFont="1" applyBorder="1" applyAlignment="1" applyProtection="0">
      <x:alignment horizontal="general" vertical="top" wrapText="0" shrinkToFit="0"/>
      <x:protection locked="1" hidden="0"/>
    </x:xf>
    <x:xf numFmtId="164" fontId="11" fillId="0" borderId="1" xfId="0" applyFont="1" applyBorder="1" applyAlignment="1" applyProtection="0">
      <x:alignment horizontal="general" vertical="top" wrapText="1" shrinkToFit="0"/>
      <x:protection locked="1" hidden="0"/>
    </x:xf>
    <x:xf numFmtId="165" fontId="10" fillId="3" borderId="1" xfId="0" applyFont="1" applyBorder="1" applyAlignment="1" applyProtection="0">
      <x:alignment horizontal="general" vertical="top" wrapText="0" shrinkToFit="0"/>
      <x:protection locked="1" hidden="0"/>
    </x:xf>
    <x:xf numFmtId="164" fontId="12" fillId="0" borderId="0" xfId="0" applyFont="1" applyBorder="0" applyAlignment="1" applyProtection="0">
      <x:alignment horizontal="general" vertical="bottom" wrapText="0" shrinkToFit="0"/>
      <x:protection locked="1" hidden="0"/>
    </x:xf>
    <x:xf numFmtId="164" fontId="11" fillId="3" borderId="1" xfId="0" applyFont="1" applyBorder="1" applyAlignment="1" applyProtection="0">
      <x:alignment horizontal="general" vertical="top" wrapText="0" shrinkToFit="0"/>
      <x:protection locked="1" hidden="0"/>
    </x:xf>
    <x:xf numFmtId="164" fontId="10" fillId="3" borderId="1" xfId="0" applyFont="1" applyBorder="1" applyAlignment="1" applyProtection="0">
      <x:alignment horizontal="general" vertical="bottom" wrapText="0" shrinkToFit="0"/>
      <x:protection locked="1" hidden="0"/>
    </x:xf>
    <x:xf numFmtId="164" fontId="11" fillId="4" borderId="1" xfId="0" applyFont="1" applyBorder="1" applyAlignment="1" applyProtection="0">
      <x:alignment horizontal="general" vertical="top" wrapText="0" shrinkToFit="0"/>
      <x:protection locked="1" hidden="0"/>
    </x:xf>
    <x:xf numFmtId="166" fontId="10" fillId="3" borderId="1" xfId="0" applyFont="1" applyBorder="1" applyAlignment="1" applyProtection="0">
      <x:alignment horizontal="general" vertical="top" wrapText="0" shrinkToFit="0"/>
      <x:protection locked="1" hidden="0"/>
    </x:xf>
    <x:xf numFmtId="166" fontId="11" fillId="0" borderId="1" xfId="0" applyFont="1" applyBorder="1" applyAlignment="1" applyProtection="0">
      <x:alignment horizontal="general" vertical="top" wrapText="0" shrinkToFit="0"/>
      <x:protection locked="1" hidden="0"/>
    </x:xf>
    <x:xf numFmtId="167" fontId="11" fillId="0" borderId="1" xfId="0" applyFont="1" applyBorder="1" applyAlignment="1" applyProtection="0">
      <x:alignment horizontal="general" vertical="top" wrapText="0" shrinkToFit="0"/>
      <x:protection locked="1" hidden="0"/>
    </x:xf>
    <x:xf numFmtId="164" fontId="14" fillId="0" borderId="1" xfId="0" applyFont="1" applyBorder="1" applyAlignment="1" applyProtection="0">
      <x:alignment horizontal="general" vertical="top" wrapText="0" shrinkToFit="0"/>
      <x:protection locked="1" hidden="0"/>
    </x:xf>
    <x:xf numFmtId="164" fontId="9" fillId="2" borderId="1" xfId="0" applyFont="1" applyBorder="1" applyAlignment="1" applyProtection="0">
      <x:alignment horizontal="general" vertical="bottom" wrapText="0" shrinkToFit="0"/>
      <x:protection locked="1" hidden="0"/>
    </x:xf>
    <x:xf numFmtId="164" fontId="0" fillId="5" borderId="0" xfId="0" applyNumberFormat="1" applyFont="1" applyFill="1" applyBorder="1" applyAlignment="1">
      <x:alignment horizontal="general" vertical="bottom" wrapText="0"/>
    </x:xf>
    <x:xf numFmtId="164" fontId="15" fillId="5" borderId="0" xfId="0" applyNumberFormat="1" applyFont="1" applyFill="1" applyBorder="1" applyAlignment="1">
      <x:alignment horizontal="general" vertical="bottom" wrapText="0"/>
    </x:xf>
    <x:xf numFmtId="164" fontId="15" fillId="5" borderId="0" xfId="0" applyNumberFormat="1" applyFont="1" applyFill="1" applyBorder="1" applyAlignment="1">
      <x:alignment horizontal="general" vertical="bottom" wrapText="1"/>
    </x:xf>
    <x:xf numFmtId="164" fontId="0" fillId="0" borderId="0" xfId="0" applyNumberFormat="1" applyFont="1" applyFill="1" applyBorder="1" applyAlignment="1">
      <x:alignment horizontal="general" vertical="bottom" wrapText="1"/>
    </x:xf>
    <x:xf numFmtId="164" fontId="15" fillId="6" borderId="0" xfId="0" applyNumberFormat="1" applyFont="1" applyFill="1" applyBorder="1" applyAlignment="1">
      <x:alignment horizontal="general" vertical="bottom" wrapText="1"/>
    </x:xf>
    <x:xf numFmtId="164" fontId="15" fillId="7" borderId="0" xfId="0" applyNumberFormat="1" applyFont="1" applyFill="1" applyBorder="1" applyAlignment="1">
      <x:alignment horizontal="general" vertical="bottom" wrapText="1"/>
    </x:xf>
    <x:xf numFmtId="164" fontId="0" fillId="7" borderId="0" xfId="0" applyNumberFormat="1" applyFont="1" applyFill="1" applyBorder="1" applyAlignment="1">
      <x:alignment horizontal="general" vertical="bottom" wrapText="0"/>
    </x:xf>
    <x:xf numFmtId="164" fontId="15" fillId="7" borderId="0" xfId="0" applyNumberFormat="1" applyFont="1" applyFill="1" applyBorder="1" applyAlignment="1">
      <x:alignment horizontal="general" vertical="bottom" wrapText="0"/>
    </x:xf>
    <x:xf numFmtId="164" fontId="15" fillId="8" borderId="0" xfId="0" applyNumberFormat="1" applyFont="1" applyFill="1" applyBorder="1" applyAlignment="1">
      <x:alignment horizontal="general" vertical="bottom" wrapText="1"/>
    </x:xf>
    <x:xf numFmtId="164" fontId="15" fillId="9" borderId="0" xfId="0" applyNumberFormat="1" applyFont="1" applyFill="1" applyBorder="1" applyAlignment="1">
      <x:alignment horizontal="general" vertical="bottom" wrapText="1"/>
    </x:xf>
    <x:xf numFmtId="164" fontId="9" fillId="2" borderId="1" xfId="0" applyNumberFormat="1" applyFont="1" applyFill="1" applyBorder="1" applyAlignment="1">
      <x:alignment horizontal="general" vertical="center" wrapText="1"/>
    </x:xf>
    <x:xf numFmtId="200" fontId="10" fillId="3" borderId="1" xfId="0" applyNumberFormat="1" applyFont="1" applyFill="1" applyBorder="1" applyAlignment="1">
      <x:alignment horizontal="general" vertical="top" wrapText="0"/>
    </x:xf>
  </x:cellXfs>
  <x:cellStyles count="6">
    <x:cellStyle name="Normal" xfId="0"/>
    <x:cellStyle name="Comma" xfId="15"/>
    <x:cellStyle name="Comma [0]" xfId="16"/>
    <x:cellStyle name="Currency" xfId="17"/>
    <x:cellStyle name="Currency [0]" xfId="18"/>
    <x:cellStyle name="Percent" xfId="19"/>
  </x:cellStyles>
  <x:dxfs count="7">
    <x:dxf>
      <x:fill>
        <x:patternFill>
          <x:bgColor rgb="FF1F3864"/>
        </x:patternFill>
      </x:fill>
    </x:dxf>
    <x:dxf>
      <x:fill>
        <x:patternFill>
          <x:bgColor rgb="FFF2F2F2"/>
        </x:patternFill>
      </x:fill>
    </x:dxf>
    <x:dxf>
      <x:fill>
        <x:patternFill>
          <x:bgColor rgb="FF000000"/>
        </x:patternFill>
      </x:fill>
    </x:dxf>
    <x:dxf>
      <x:fill>
        <x:patternFill>
          <x:bgColor rgb="FF000000"/>
        </x:patternFill>
      </x:fill>
    </x:dxf>
    <x:dxf>
      <x:fill>
        <x:patternFill>
          <x:bgColor rgb="FFFFFFFF"/>
        </x:patternFill>
      </x:fill>
    </x:dxf>
    <x:dxf>
      <x:fill>
        <x:patternFill>
          <x:bgColor rgb="FFFFF2CC"/>
        </x:patternFill>
      </x:fill>
    </x:dxf>
    <x:dxf>
      <x:fill>
        <x:patternFill>
          <x:bgColor rgb="FF0000FF"/>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BFBFBF"/>
      <x:rgbColor rgb="FF808080"/>
      <x:rgbColor rgb="FF9999FF"/>
      <x:rgbColor rgb="FF993366"/>
      <x:rgbColor rgb="FFFFF2CC"/>
      <x:rgbColor rgb="FFF2F2F2"/>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595959"/>
      <x:rgbColor rgb="FF969696"/>
      <x:rgbColor rgb="FF1F3864"/>
      <x:rgbColor rgb="FF339966"/>
      <x:rgbColor rgb="FF003300"/>
      <x:rgbColor rgb="FF333300"/>
      <x:rgbColor rgb="FF993300"/>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d20647b99234124" /><Relationship Type="http://schemas.openxmlformats.org/officeDocument/2006/relationships/theme" Target="/xl/theme/theme1.xml" Id="Rb3f9019340ec496a" /><Relationship Type="http://schemas.openxmlformats.org/officeDocument/2006/relationships/sharedStrings" Target="/xl/sharedStrings.xml" Id="R70d2abb280e649f7" /><Relationship Type="http://schemas.openxmlformats.org/officeDocument/2006/relationships/worksheet" Target="/xl/worksheets/sheet1.xml" Id="R6c09fb81bbca4366" /><Relationship Type="http://schemas.openxmlformats.org/officeDocument/2006/relationships/worksheet" Target="/xl/worksheets/sheet2.xml" Id="Rd5856b10275c4124" /><Relationship Type="http://schemas.openxmlformats.org/officeDocument/2006/relationships/worksheet" Target="/xl/worksheets/sheet3.xml" Id="R76b6fe5bdc214f6b" /><Relationship Type="http://schemas.openxmlformats.org/officeDocument/2006/relationships/worksheet" Target="/xl/worksheets/sheet4.xml" Id="Rccf85831b4e7403d" /><Relationship Type="http://schemas.openxmlformats.org/officeDocument/2006/relationships/worksheet" Target="/xl/worksheets/sheet5.xml" Id="Ra96389407d90474a" /><Relationship Type="http://schemas.openxmlformats.org/officeDocument/2006/relationships/worksheet" Target="/xl/worksheets/sheet6.xml" Id="R6541a9f521ad44e2" /><Relationship Type="http://schemas.openxmlformats.org/officeDocument/2006/relationships/worksheet" Target="/xl/worksheets/sheet7.xml" Id="R1885c23d15634c41" /><Relationship Type="http://schemas.openxmlformats.org/officeDocument/2006/relationships/worksheet" Target="/xl/worksheets/sheet8.xml" Id="Re956105ed19848c3" /><Relationship Type="http://schemas.openxmlformats.org/officeDocument/2006/relationships/worksheet" Target="/xl/worksheets/sheet9.xml" Id="R86740c2c99ac47de" /><Relationship Type="http://schemas.openxmlformats.org/officeDocument/2006/relationships/worksheet" Target="/xl/worksheets/sheet10.xml" Id="R53027d0a67e24e33" /><Relationship Type="http://schemas.microsoft.com/office/2017/10/relationships/person" Target="/xl/persons/person.xml" Id="R31ad3400e6ff4d0a" /></Relationships>
</file>

<file path=xl/persons/person.xml><?xml version="1.0" encoding="utf-8"?>
<xltc:personList xmlns:xltc="http://schemas.microsoft.com/office/spreadsheetml/2018/threadedcomments">
  <xltc:person displayName="design" id="{F787641C-F6DD-EE2F-A75D-4D30ADEC5983}"/>
  <xltc:person displayName="design" id="{D1F677BC-4D4A-A9A5-F8A8-CEE3E8A79327}"/>
  <xltc:person displayName="design" id="{059AD052-2F0C-DF05-D9C6-B476BE4BF6A7}"/>
  <xltc:person displayName="design" id="{1AB01E1A-D26D-90E9-AC3A-6E373BBE3C7D}"/>
</xltc: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comments" Target="/xl/comments1.xml" Id="R185aa13108d44176" /><Relationship Type="http://schemas.openxmlformats.org/officeDocument/2006/relationships/vmlDrawing" Target="/xl/drawings/vmldrawing.vml" Id="R65735ee03e694529" /></Relationships>
</file>

<file path=xl/worksheets/_rels/sheet5.xml.rels>&#65279;<?xml version="1.0" encoding="utf-8"?><Relationships xmlns="http://schemas.openxmlformats.org/package/2006/relationships"><Relationship Type="http://schemas.openxmlformats.org/officeDocument/2006/relationships/comments" Target="/xl/comments2.xml" Id="Rb281bf64fa5a43a0" /><Relationship Type="http://schemas.openxmlformats.org/officeDocument/2006/relationships/vmlDrawing" Target="/xl/drawings/vmldrawing2.vml" Id="R4a091fb883854d92" /></Relationships>
</file>

<file path=xl/worksheets/_rels/sheet6.xml.rels>&#65279;<?xml version="1.0" encoding="utf-8"?><Relationships xmlns="http://schemas.openxmlformats.org/package/2006/relationships"><Relationship Type="http://schemas.openxmlformats.org/officeDocument/2006/relationships/comments" Target="/xl/comments3.xml" Id="R3ec7c00f7cc0456d" /><Relationship Type="http://schemas.openxmlformats.org/officeDocument/2006/relationships/vmlDrawing" Target="/xl/drawings/vmldrawing3.vml" Id="Rf5e9aed66005470c" /></Relationships>
</file>

<file path=xl/worksheets/_rels/sheet7.xml.rels>&#65279;<?xml version="1.0" encoding="utf-8"?><Relationships xmlns="http://schemas.openxmlformats.org/package/2006/relationships"><Relationship Type="http://schemas.openxmlformats.org/officeDocument/2006/relationships/comments" Target="/xl/comments4.xml" Id="R5d845e5005314589" /><Relationship Type="http://schemas.openxmlformats.org/officeDocument/2006/relationships/vmlDrawing" Target="/xl/drawings/vmldrawing4.vml" Id="R0045ca2770ea40e1" /></Relationships>
</file>

<file path=xl/worksheets/sheet1.xml><?xml version="1.0" encoding="utf-8"?>
<x:worksheet xmlns:x="http://schemas.openxmlformats.org/spreadsheetml/2006/main">
  <x:sheetViews>
    <x:sheetView showGridLines="1" workbookViewId="0"/>
  </x:sheetViews>
  <x:sheetFormatPr defaultColWidth="8.6796875" defaultRowHeight="15"/>
  <x:cols>
    <x:col min="1" max="1" width="18" style="1" hidden="0" customWidth="1"/>
    <x:col min="2" max="2" width="120" style="1" hidden="0" customWidth="1"/>
    <x:col min="3" max="3" width="20" style="1" hidden="0" customWidth="1"/>
  </x:cols>
  <x:sheetData>
    <x:row r="1" ht="17.25" hidden="0" customHeight="1">
      <x:c r="A1" s="2" t="s">
        <x:v>0</x:v>
      </x:c>
    </x:row>
    <x:row r="2" ht="15" hidden="0" customHeight="1">
      <x:c r="A2" s="3" t="s">
        <x:v>1</x:v>
      </x:c>
    </x:row>
    <x:row r="4" ht="60" hidden="0" customHeight="1">
      <x:c r="A4" s="4" t="s">
        <x:v>2</x:v>
      </x:c>
      <x:c r="B4" s="5" t="s">
        <x:v>3</x:v>
      </x:c>
    </x:row>
    <x:row r="5" ht="60" hidden="0" customHeight="1">
      <x:c r="A5" s="4" t="s">
        <x:v>4</x:v>
      </x:c>
      <x:c r="B5" s="5" t="s">
        <x:v>5</x:v>
      </x:c>
    </x:row>
    <x:row r="6" ht="60" hidden="0" customHeight="1">
      <x:c r="A6" s="4" t="s">
        <x:v>6</x:v>
      </x:c>
      <x:c r="B6" s="5" t="s">
        <x:v>7</x:v>
      </x:c>
    </x:row>
    <x:row r="7" ht="60" hidden="0" customHeight="1">
      <x:c r="A7" s="4" t="s">
        <x:v>8</x:v>
      </x:c>
      <x:c r="B7" s="5" t="s">
        <x:v>9</x:v>
      </x:c>
    </x:row>
    <x:row r="8" ht="60" hidden="0" customHeight="1">
      <x:c r="A8" s="4" t="s">
        <x:v>10</x:v>
      </x:c>
      <x:c r="B8" s="5" t="s">
        <x:v>11</x:v>
      </x:c>
    </x:row>
    <x:row r="9" ht="60" hidden="0" customHeight="1">
      <x:c r="A9" s="4" t="s">
        <x:v>12</x:v>
      </x:c>
      <x:c r="B9" s="5" t="s">
        <x:v>13</x:v>
      </x:c>
    </x:row>
    <x:row r="10" ht="60" hidden="0" customHeight="1">
      <x:c r="A10" s="4" t="s">
        <x:v>14</x:v>
      </x:c>
      <x:c r="B10" s="5" t="s">
        <x:v>15</x:v>
      </x:c>
    </x:row>
    <x:row r="11" ht="60" hidden="0" customHeight="1">
      <x:c r="A11" s="4" t="s">
        <x:v>16</x:v>
      </x:c>
      <x:c r="B11" s="5" t="s">
        <x:v>17</x:v>
      </x:c>
    </x:row>
    <x:row r="12" ht="60" hidden="0" customHeight="1">
      <x:c r="A12" s="4" t="s">
        <x:v>18</x:v>
      </x:c>
      <x:c r="B12" s="5" t="s">
        <x:v>19</x:v>
      </x:c>
    </x:row>
    <x:row r="14" ht="15" hidden="0" customHeight="1">
      <x:c r="A14" s="6" t="s">
        <x:v>20</x:v>
      </x:c>
    </x:row>
    <x:row r="15" ht="31.5" hidden="0" customHeight="1">
      <x:c r="A15" s="7" t="s">
        <x:v>21</x:v>
      </x:c>
      <x:c r="B15" s="7" t="s">
        <x:v>22</x:v>
      </x:c>
      <x:c r="C15" s="7" t="s">
        <x:v>23</x:v>
      </x:c>
    </x:row>
    <x:row r="16" ht="15" hidden="0" customHeight="1">
      <x:c r="A16" s="8" t="s">
        <x:v>24</x:v>
      </x:c>
      <x:c r="B16" s="9" t="s">
        <x:v>25</x:v>
      </x:c>
      <x:c r="C16" s="8" t="s">
        <x:v>26</x:v>
      </x:c>
    </x:row>
    <x:row r="17" ht="15" hidden="0" customHeight="1">
      <x:c r="A17" s="8"/>
      <x:c r="B17" s="9"/>
      <x:c r="C17" s="8"/>
    </x:row>
    <x:row r="18" ht="15" hidden="0" customHeight="1">
      <x:c r="A18" s="8"/>
      <x:c r="B18" s="9"/>
      <x:c r="C18" s="8"/>
    </x:row>
  </x:sheetData>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defaultColWidth="8.6796875" defaultRowHeight="15"/>
  <x:cols>
    <x:col min="1" max="1" width="30" style="1" hidden="0" customWidth="1"/>
    <x:col min="2" max="2" width="12" style="1" hidden="0" customWidth="1"/>
    <x:col min="3" max="3" width="14" style="1" hidden="0" customWidth="1"/>
    <x:col min="4" max="4" width="100" style="1" hidden="0" customWidth="1"/>
  </x:cols>
  <x:sheetData>
    <x:row r="1" ht="17.25" hidden="0" customHeight="1">
      <x:c r="A1" s="2" t="s">
        <x:v>27</x:v>
      </x:c>
    </x:row>
    <x:row r="2" ht="15" hidden="0" customHeight="1">
      <x:c r="A2" s="3" t="s">
        <x:v>28</x:v>
      </x:c>
    </x:row>
    <x:row r="4" ht="31.5" hidden="0" customHeight="1">
      <x:c r="A4" s="7" t="s">
        <x:v>29</x:v>
      </x:c>
      <x:c r="B4" s="7" t="s">
        <x:v>30</x:v>
      </x:c>
      <x:c r="C4" s="7" t="s">
        <x:v>31</x:v>
      </x:c>
      <x:c r="D4" s="7" t="s">
        <x:v>32</x:v>
      </x:c>
    </x:row>
    <x:row r="5" ht="15" hidden="0" customHeight="1">
      <x:c r="A5" s="10" t="s">
        <x:v>33</x:v>
      </x:c>
      <x:c r="B5" s="8" t="n">
        <x:v>10</x:v>
      </x:c>
      <x:c r="C5" s="10" t="s">
        <x:v>34</x:v>
      </x:c>
      <x:c r="D5" s="11" t="s">
        <x:v>35</x:v>
      </x:c>
    </x:row>
    <x:row r="6" ht="15" hidden="0" customHeight="1">
      <x:c r="A6" s="10" t="s">
        <x:v>36</x:v>
      </x:c>
      <x:c r="B6" s="8" t="n">
        <x:v>5</x:v>
      </x:c>
      <x:c r="C6" s="10" t="s">
        <x:v>37</x:v>
      </x:c>
      <x:c r="D6" s="11" t="s">
        <x:v>38</x:v>
      </x:c>
    </x:row>
    <x:row r="7" ht="15" hidden="0" customHeight="1">
      <x:c r="A7" s="10" t="s">
        <x:v>39</x:v>
      </x:c>
      <x:c r="B7" s="8" t="n">
        <x:v>10</x:v>
      </x:c>
      <x:c r="C7" s="10" t="s">
        <x:v>37</x:v>
      </x:c>
      <x:c r="D7" s="11" t="s">
        <x:v>40</x:v>
      </x:c>
    </x:row>
    <x:row r="8" ht="15" hidden="0" customHeight="1">
      <x:c r="A8" s="10" t="s">
        <x:v>41</x:v>
      </x:c>
      <x:c r="B8" s="8" t="n">
        <x:v>4</x:v>
      </x:c>
      <x:c r="C8" s="10" t="s">
        <x:v>42</x:v>
      </x:c>
      <x:c r="D8" s="11" t="s">
        <x:v>43</x:v>
      </x:c>
    </x:row>
    <x:row r="9" ht="15" hidden="0" customHeight="1">
      <x:c r="A9" s="10" t="s">
        <x:v>44</x:v>
      </x:c>
      <x:c r="B9" s="8" t="n">
        <x:v>2</x:v>
      </x:c>
      <x:c r="C9" s="10" t="s">
        <x:v>42</x:v>
      </x:c>
      <x:c r="D9" s="11" t="s">
        <x:v>45</x:v>
      </x:c>
    </x:row>
    <x:row r="10" ht="15" hidden="0" customHeight="1">
      <x:c r="A10" s="10" t="s">
        <x:v>46</x:v>
      </x:c>
      <x:c r="B10" s="8" t="n">
        <x:v>5</x:v>
      </x:c>
      <x:c r="C10" s="10" t="s">
        <x:v>42</x:v>
      </x:c>
      <x:c r="D10" s="11" t="s">
        <x:v>47</x:v>
      </x:c>
    </x:row>
    <x:row r="11" ht="15" hidden="0" customHeight="1">
      <x:c r="A11" s="10" t="s">
        <x:v>48</x:v>
      </x:c>
      <x:c r="B11" s="8" t="n">
        <x:v>1</x:v>
      </x:c>
      <x:c r="C11" s="10" t="s">
        <x:v>49</x:v>
      </x:c>
      <x:c r="D11" s="11" t="s">
        <x:v>50</x:v>
      </x:c>
    </x:row>
    <x:row r="12" ht="15" hidden="0" customHeight="1">
      <x:c r="A12" s="10" t="s">
        <x:v>51</x:v>
      </x:c>
      <x:c r="B12" s="8" t="n">
        <x:v>20</x:v>
      </x:c>
      <x:c r="C12" s="10" t="s">
        <x:v>49</x:v>
      </x:c>
      <x:c r="D12" s="11" t="s">
        <x:v>52</x:v>
      </x:c>
    </x:row>
    <x:row r="13" ht="15" hidden="0" customHeight="1">
      <x:c r="A13" s="10" t="s">
        <x:v>53</x:v>
      </x:c>
      <x:c r="B13" s="8" t="n">
        <x:v>1</x:v>
      </x:c>
      <x:c r="C13" s="10" t="s">
        <x:v>49</x:v>
      </x:c>
      <x:c r="D13" s="11"/>
    </x:row>
    <x:row r="14" ht="15" hidden="0" customHeight="1">
      <x:c r="A14" s="10" t="s">
        <x:v>54</x:v>
      </x:c>
      <x:c r="B14" s="8" t="n">
        <x:v>10</x:v>
      </x:c>
      <x:c r="C14" s="10" t="s">
        <x:v>49</x:v>
      </x:c>
      <x:c r="D14" s="11"/>
    </x:row>
    <x:row r="15" ht="15" hidden="0" customHeight="1">
      <x:c r="A15" s="10" t="s">
        <x:v>55</x:v>
      </x:c>
      <x:c r="B15" s="8" t="n">
        <x:v>30</x:v>
      </x:c>
      <x:c r="C15" s="10" t="s">
        <x:v>49</x:v>
      </x:c>
      <x:c r="D15" s="11"/>
    </x:row>
    <x:row r="16" ht="15" hidden="0" customHeight="1">
      <x:c r="A16" s="10" t="s">
        <x:v>56</x:v>
      </x:c>
      <x:c r="B16" s="8" t="s">
        <x:v>57</x:v>
      </x:c>
      <x:c r="C16" s="10"/>
      <x:c r="D16" s="11" t="s">
        <x:v>58</x:v>
      </x:c>
    </x:row>
    <x:row r="17" ht="15" hidden="0" customHeight="1">
      <x:c r="A17" s="10" t="s">
        <x:v>59</x:v>
      </x:c>
      <x:c r="B17" s="8" t="n">
        <x:v>1</x:v>
      </x:c>
      <x:c r="C17" s="10" t="s">
        <x:v>60</x:v>
      </x:c>
      <x:c r="D17" s="11" t="s">
        <x:v>61</x:v>
      </x:c>
    </x:row>
    <x:row r="18" ht="15" hidden="0" customHeight="1">
      <x:c r="A18" s="10" t="s">
        <x:v>62</x:v>
      </x:c>
      <x:c r="B18" s="8" t="n">
        <x:v>2</x:v>
      </x:c>
      <x:c r="C18" s="10" t="s">
        <x:v>63</x:v>
      </x:c>
      <x:c r="D18" s="11" t="s">
        <x:v>64</x:v>
      </x:c>
    </x:row>
    <x:row r="19" ht="15" hidden="0" customHeight="1">
      <x:c r="A19" s="10" t="s">
        <x:v>65</x:v>
      </x:c>
      <x:c r="B19" s="8" t="n">
        <x:v>6</x:v>
      </x:c>
      <x:c r="C19" s="10" t="s">
        <x:v>66</x:v>
      </x:c>
      <x:c r="D19" s="11" t="s">
        <x:v>67</x:v>
      </x:c>
    </x:row>
    <x:row r="20" ht="15" hidden="0" customHeight="1">
      <x:c r="A20" s="10" t="s">
        <x:v>68</x:v>
      </x:c>
      <x:c r="B20" s="12" t="n">
        <x:v>0.4</x:v>
      </x:c>
      <x:c r="C20" s="10" t="s">
        <x:v>69</x:v>
      </x:c>
      <x:c r="D20" s="11" t="s">
        <x:v>70</x:v>
      </x:c>
    </x:row>
    <x:row r="21" ht="15" hidden="0" customHeight="1">
      <x:c r="A21" s="10" t="s">
        <x:v>71</x:v>
      </x:c>
      <x:c r="B21" s="8" t="n">
        <x:v>1</x:v>
      </x:c>
      <x:c r="C21" s="10" t="s">
        <x:v>72</x:v>
      </x:c>
      <x:c r="D21" s="11" t="s">
        <x:v>73</x:v>
      </x:c>
    </x:row>
    <x:row r="22" ht="15" hidden="0" customHeight="1">
      <x:c r="A22" s="10" t="s">
        <x:v>74</x:v>
      </x:c>
      <x:c r="B22" s="8" t="n">
        <x:v>3</x:v>
      </x:c>
      <x:c r="C22" s="10" t="s">
        <x:v>72</x:v>
      </x:c>
      <x:c r="D22" s="11"/>
    </x:row>
    <x:row r="23" ht="15" hidden="0" customHeight="1">
      <x:c r="A23" s="10" t="s">
        <x:v>75</x:v>
      </x:c>
      <x:c r="B23" s="8" t="n">
        <x:v>8</x:v>
      </x:c>
      <x:c r="C23" s="10" t="s">
        <x:v>72</x:v>
      </x:c>
      <x:c r="D23" s="11"/>
    </x:row>
    <x:row r="24" ht="15" hidden="0" customHeight="1">
      <x:c r="A24" s="10" t="s">
        <x:v>76</x:v>
      </x:c>
      <x:c r="B24" s="8" t="n">
        <x:v>100</x:v>
      </x:c>
      <x:c r="C24" s="10" t="s">
        <x:v>72</x:v>
      </x:c>
      <x:c r="D24" s="11" t="s">
        <x:v>77</x:v>
      </x:c>
    </x:row>
    <x:row r="25" ht="15" hidden="0" customHeight="1">
      <x:c r="A25" s="10" t="s">
        <x:v>78</x:v>
      </x:c>
      <x:c r="B25" s="8" t="n">
        <x:v>2</x:v>
      </x:c>
      <x:c r="C25" s="10" t="s">
        <x:v>79</x:v>
      </x:c>
      <x:c r="D25" s="11" t="s">
        <x:v>80</x:v>
      </x:c>
    </x:row>
    <x:row r="26" ht="15" hidden="0" customHeight="1">
      <x:c r="A26" s="10" t="s">
        <x:v>81</x:v>
      </x:c>
      <x:c r="B26" s="8" t="n">
        <x:v>3</x:v>
      </x:c>
      <x:c r="C26" s="10" t="s">
        <x:v>82</x:v>
      </x:c>
      <x:c r="D26" s="11" t="s">
        <x:v>83</x:v>
      </x:c>
    </x:row>
    <x:row r="27" ht="15" hidden="0" customHeight="1">
      <x:c r="A27" s="10" t="s">
        <x:v>84</x:v>
      </x:c>
      <x:c r="B27" s="8" t="n">
        <x:v>1</x:v>
      </x:c>
      <x:c r="C27" s="10" t="s">
        <x:v>85</x:v>
      </x:c>
      <x:c r="D27" s="11" t="s">
        <x:v>86</x:v>
      </x:c>
    </x:row>
    <x:row r="28" ht="15" hidden="0" customHeight="1">
      <x:c r="A28" s="10" t="s">
        <x:v>87</x:v>
      </x:c>
      <x:c r="B28" s="8" t="s">
        <x:v>88</x:v>
      </x:c>
      <x:c r="C28" s="10"/>
      <x:c r="D28" s="11" t="s">
        <x:v>89</x:v>
      </x:c>
    </x:row>
    <x:row r="30" ht="15" hidden="0" customHeight="1">
      <x:c r="A30" s="4" t="s">
        <x:v>90</x:v>
      </x:c>
    </x:row>
    <x:row r="31" ht="31.5" hidden="0" customHeight="1">
      <x:c r="A31" s="7" t="s">
        <x:v>91</x:v>
      </x:c>
      <x:c r="B31" s="7" t="s">
        <x:v>92</x:v>
      </x:c>
    </x:row>
    <x:row r="32" ht="15" hidden="0" customHeight="1">
      <x:c r="A32" s="8" t="n">
        <x:v>1</x:v>
      </x:c>
      <x:c r="B32" s="10" t="n">
        <x:f aca="0">1+INT(A32/Rules!$B$9)</x:f>
        <x:v>1</x:v>
      </x:c>
    </x:row>
    <x:row r="33" ht="15" hidden="0" customHeight="1">
      <x:c r="A33" s="8" t="n">
        <x:v>17</x:v>
      </x:c>
      <x:c r="B33" s="10" t="n">
        <x:f aca="0">1+INT(A33/Rules!$B$9)</x:f>
        <x:v>6</x:v>
      </x:c>
    </x:row>
    <x:row r="34" ht="15" hidden="0" customHeight="1">
      <x:c r="A34" s="8" t="n">
        <x:v>30</x:v>
      </x:c>
      <x:c r="B34" s="10" t="n">
        <x:f aca="0">1+INT(A34/Rules!$B$9)</x:f>
        <x:v>11</x:v>
      </x:c>
    </x:row>
    <x:row r="35" ht="15" hidden="0" customHeight="1">
      <x:c r="A35" s="8" t="n">
        <x:v>60</x:v>
      </x:c>
      <x:c r="B35" s="10" t="n">
        <x:f aca="0">1+INT(A35/Rules!$B$9)</x:f>
        <x:v>21</x:v>
      </x:c>
    </x:row>
    <x:row r="36" ht="15" hidden="0" customHeight="1">
      <x:c r="A36" s="8" t="n">
        <x:v>90</x:v>
      </x:c>
      <x:c r="B36" s="10" t="n">
        <x:f aca="0">1+INT(A36/Rules!$B$9)</x:f>
        <x:v>31</x:v>
      </x:c>
    </x:row>
    <x:row r="37" ht="15" hidden="0" customHeight="1">
      <x:c r="A37" s="8" t="n">
        <x:v>140</x:v>
      </x:c>
      <x:c r="B37" s="10" t="n">
        <x:f aca="0">1+INT(A37/Rules!$B$9)</x:f>
        <x:v>47</x:v>
      </x:c>
    </x:row>
    <x:row r="38" ht="15" hidden="0" customHeight="1">
      <x:c r="A38" s="13" t="s">
        <x:v>93</x:v>
      </x:c>
    </x:row>
  </x:sheetData>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defaultColWidth="8.6796875" defaultRowHeight="15"/>
  <x:cols>
    <x:col min="1" max="1" width="10" style="1" hidden="0" customWidth="1"/>
    <x:col min="2" max="2" width="12" style="1" hidden="0" customWidth="1"/>
    <x:col min="3" max="3" width="30" style="1" hidden="0" customWidth="1"/>
    <x:col min="4" max="4" width="28" style="1" hidden="0" customWidth="1"/>
    <x:col min="5" max="5" width="22" style="1" hidden="0" customWidth="1"/>
    <x:col min="6" max="6" width="44" style="1" hidden="0" customWidth="1"/>
    <x:col min="7" max="7" width="30" style="1" hidden="0" customWidth="1"/>
    <x:col min="8" max="8" width="50" style="1" hidden="0" customWidth="1"/>
  </x:cols>
  <x:sheetData>
    <x:row r="1" ht="17.25" hidden="0" customHeight="1">
      <x:c r="A1" s="2" t="s">
        <x:v>94</x:v>
      </x:c>
    </x:row>
    <x:row r="2" ht="15" hidden="0" customHeight="1">
      <x:c r="A2" s="3" t="s">
        <x:v>95</x:v>
      </x:c>
    </x:row>
    <x:row r="4" ht="31.5" hidden="0" customHeight="1">
      <x:c r="A4" s="7" t="s">
        <x:v>96</x:v>
      </x:c>
      <x:c r="B4" s="7" t="s">
        <x:v>97</x:v>
      </x:c>
      <x:c r="C4" s="7" t="s">
        <x:v>98</x:v>
      </x:c>
      <x:c r="D4" s="7" t="s">
        <x:v>99</x:v>
      </x:c>
      <x:c r="E4" s="7" t="s">
        <x:v>100</x:v>
      </x:c>
      <x:c r="F4" s="7" t="s">
        <x:v>101</x:v>
      </x:c>
      <x:c r="G4" s="7" t="s">
        <x:v>102</x:v>
      </x:c>
      <x:c r="H4" s="7" t="s">
        <x:v>103</x:v>
      </x:c>
    </x:row>
    <x:row r="5" ht="23.25" hidden="0" customHeight="1">
      <x:c r="A5" s="10" t="s">
        <x:v>104</x:v>
      </x:c>
      <x:c r="B5" s="8" t="s">
        <x:v>105</x:v>
      </x:c>
      <x:c r="C5" s="11" t="s">
        <x:v>106</x:v>
      </x:c>
      <x:c r="D5" s="11" t="s">
        <x:v>107</x:v>
      </x:c>
      <x:c r="E5" s="9" t="s">
        <x:v>108</x:v>
      </x:c>
      <x:c r="F5" s="11" t="s">
        <x:v>109</x:v>
      </x:c>
      <x:c r="G5" s="9" t="s">
        <x:v>110</x:v>
      </x:c>
      <x:c r="H5" s="9" t="s">
        <x:v>111</x:v>
      </x:c>
    </x:row>
    <x:row r="6" ht="23.25" hidden="0" customHeight="1">
      <x:c r="A6" s="10" t="s">
        <x:v>112</x:v>
      </x:c>
      <x:c r="B6" s="8" t="s">
        <x:v>113</x:v>
      </x:c>
      <x:c r="C6" s="11" t="s">
        <x:v>114</x:v>
      </x:c>
      <x:c r="D6" s="11" t="s">
        <x:v>115</x:v>
      </x:c>
      <x:c r="E6" s="9" t="s">
        <x:v>116</x:v>
      </x:c>
      <x:c r="F6" s="11" t="s">
        <x:v>117</x:v>
      </x:c>
      <x:c r="G6" s="9" t="s">
        <x:v>118</x:v>
      </x:c>
      <x:c r="H6" s="9" t="s">
        <x:v>119</x:v>
      </x:c>
    </x:row>
    <x:row r="7" ht="23.25" hidden="0" customHeight="1">
      <x:c r="A7" s="10" t="s">
        <x:v>120</x:v>
      </x:c>
      <x:c r="B7" s="8" t="s">
        <x:v>121</x:v>
      </x:c>
      <x:c r="C7" s="11" t="s">
        <x:v>122</x:v>
      </x:c>
      <x:c r="D7" s="11" t="s">
        <x:v>123</x:v>
      </x:c>
      <x:c r="E7" s="9" t="s">
        <x:v>124</x:v>
      </x:c>
      <x:c r="F7" s="11" t="s">
        <x:v>125</x:v>
      </x:c>
      <x:c r="G7" s="9" t="s">
        <x:v>126</x:v>
      </x:c>
      <x:c r="H7" s="9" t="s">
        <x:v>127</x:v>
      </x:c>
    </x:row>
    <x:row r="8" ht="15" hidden="0" customHeight="1">
      <x:c r="A8" s="10" t="s">
        <x:v>128</x:v>
      </x:c>
      <x:c r="B8" s="8" t="s">
        <x:v>129</x:v>
      </x:c>
      <x:c r="C8" s="11" t="s">
        <x:v>130</x:v>
      </x:c>
      <x:c r="D8" s="11" t="s">
        <x:v>131</x:v>
      </x:c>
      <x:c r="E8" s="9" t="s">
        <x:v>132</x:v>
      </x:c>
      <x:c r="F8" s="11" t="s">
        <x:v>133</x:v>
      </x:c>
      <x:c r="G8" s="9" t="s">
        <x:v>134</x:v>
      </x:c>
      <x:c r="H8" s="9" t="s">
        <x:v>135</x:v>
      </x:c>
    </x:row>
  </x:sheetData>
  <x:pageMargins left="0.7" right="0.7" top="0.75" bottom="0.75" header="0.3" footer="0.3"/>
</x:worksheet>
</file>

<file path=xl/worksheets/sheet4.xml><?xml version="1.0" encoding="utf-8"?>
<x:worksheet xmlns:x="http://schemas.openxmlformats.org/spreadsheetml/2006/main">
  <x:sheetViews>
    <x:sheetView showGridLines="1" workbookViewId="0">
      <x:pane xSplit="5" ySplit="4" topLeftCell="F5" activePane="bottomRight" state="frozen"/>
    </x:sheetView>
  </x:sheetViews>
  <x:sheetFormatPr defaultColWidth="8.6796875" defaultRowHeight="15"/>
  <x:cols>
    <x:col min="1" max="1" width="9" style="1" hidden="0" customWidth="1"/>
    <x:col min="2" max="2" width="10" style="1" hidden="0" customWidth="1"/>
    <x:col min="3" max="3" width="14" style="1" hidden="0" customWidth="1"/>
    <x:col min="4" max="4" width="7" style="1" hidden="0" customWidth="1"/>
    <x:col min="5" max="5" width="18" style="1" hidden="0" customWidth="1"/>
    <x:col min="6" max="6" width="46" style="1" hidden="0" customWidth="1"/>
    <x:col min="7" max="7" width="14" style="1" hidden="0" customWidth="1"/>
    <x:col min="8" max="8" width="9" style="1" hidden="0" customWidth="1"/>
    <x:col min="9" max="9" width="11" style="1" hidden="0" customWidth="1"/>
    <x:col min="10" max="10" width="9" style="1" hidden="0" customWidth="1"/>
    <x:col min="11" max="12" width="8" style="1" hidden="0" customWidth="1"/>
    <x:col min="13" max="13" width="10" style="1" hidden="0" customWidth="1"/>
    <x:col min="14" max="14" width="7" style="1" hidden="0" customWidth="1"/>
    <x:col min="15" max="16" width="9" style="1" hidden="0" customWidth="1"/>
    <x:col min="17" max="18" width="40" style="1" hidden="0" customWidth="1"/>
    <x:col min="19" max="20" width="9" style="1" hidden="0" customWidth="1"/>
    <x:col min="21" max="21" width="12" style="1" hidden="0" customWidth="1"/>
    <x:col min="22" max="22" width="36" style="1" hidden="0" customWidth="1"/>
    <x:col min="23" max="23" width="14" style="1" hidden="0" customWidth="1"/>
    <x:col min="24" max="24" width="6" style="1" hidden="0" customWidth="1"/>
    <x:col min="25" max="25" width="30" style="1" hidden="0" customWidth="1"/>
  </x:cols>
  <x:sheetData>
    <x:row r="1" ht="17.25" hidden="0" customHeight="1">
      <x:c r="A1" s="2" t="s">
        <x:v>136</x:v>
      </x:c>
    </x:row>
    <x:row r="2" ht="15" hidden="0" customHeight="1">
      <x:c r="A2" s="3" t="s">
        <x:v>137</x:v>
      </x:c>
    </x:row>
    <x:row r="4" ht="31.5" hidden="0" customHeight="1">
      <x:c r="A4" s="7" t="s">
        <x:v>96</x:v>
      </x:c>
      <x:c r="B4" s="7" t="s">
        <x:v>138</x:v>
      </x:c>
      <x:c r="C4" s="7" t="s">
        <x:v>139</x:v>
      </x:c>
      <x:c r="D4" s="7" t="s">
        <x:v>140</x:v>
      </x:c>
      <x:c r="E4" s="7" t="s">
        <x:v>141</x:v>
      </x:c>
      <x:c r="F4" s="7" t="s">
        <x:v>142</x:v>
      </x:c>
      <x:c r="G4" s="7" t="s">
        <x:v>143</x:v>
      </x:c>
      <x:c r="H4" s="7" t="s">
        <x:v>144</x:v>
      </x:c>
      <x:c r="I4" s="7" t="s">
        <x:v>145</x:v>
      </x:c>
      <x:c r="J4" s="7" t="s">
        <x:v>146</x:v>
      </x:c>
      <x:c r="K4" s="7" t="s">
        <x:v>147</x:v>
      </x:c>
      <x:c r="L4" s="7" t="s">
        <x:v>148</x:v>
      </x:c>
      <x:c r="M4" s="7" t="s">
        <x:v>149</x:v>
      </x:c>
      <x:c r="N4" s="7" t="s">
        <x:v>150</x:v>
      </x:c>
      <x:c r="O4" s="7" t="s">
        <x:v>151</x:v>
      </x:c>
      <x:c r="P4" s="7" t="s">
        <x:v>152</x:v>
      </x:c>
      <x:c r="Q4" s="7" t="s">
        <x:v>153</x:v>
      </x:c>
      <x:c r="R4" s="7" t="s">
        <x:v>154</x:v>
      </x:c>
      <x:c r="S4" s="7" t="s">
        <x:v>155</x:v>
      </x:c>
      <x:c r="T4" s="7" t="s">
        <x:v>156</x:v>
      </x:c>
      <x:c r="U4" s="7" t="s">
        <x:v>157</x:v>
      </x:c>
      <x:c r="V4" s="7" t="s">
        <x:v>158</x:v>
      </x:c>
      <x:c r="W4" s="7" t="s">
        <x:v>159</x:v>
      </x:c>
      <x:c r="X4" s="7" t="s">
        <x:v>160</x:v>
      </x:c>
      <x:c r="Y4" s="7" t="s">
        <x:v>161</x:v>
      </x:c>
    </x:row>
    <x:row r="5" ht="76" hidden="0" customHeight="1">
      <x:c r="A5" s="10" t="s">
        <x:v>112</x:v>
      </x:c>
      <x:c r="B5" s="10" t="s">
        <x:v>162</x:v>
      </x:c>
      <x:c r="C5" s="8" t="s">
        <x:v>163</x:v>
      </x:c>
      <x:c r="D5" s="10" t="n">
        <x:v>1</x:v>
      </x:c>
      <x:c r="E5" s="8" t="s">
        <x:v>164</x:v>
      </x:c>
      <x:c r="F5" s="9" t="str">
        <x:v>Howls: up to {v} monsters within 6 m are terrified for 3 s and cannot attack the wolf.</x:v>
      </x:c>
      <x:c r="G5" s="8" t="s">
        <x:v>165</x:v>
      </x:c>
      <x:c r="H5" s="8" t="n">
        <x:v>25</x:v>
      </x:c>
      <x:c r="I5" s="8" t="s">
        <x:v>63</x:v>
      </x:c>
      <x:c r="J5" s="8" t="n">
        <x:v>-0.5</x:v>
      </x:c>
      <x:c r="K5" s="8" t="n">
        <x:v>3</x:v>
      </x:c>
      <x:c r="L5" s="8" t="n">
        <x:v>0.5</x:v>
      </x:c>
      <x:c r="M5" s="8" t="s">
        <x:v>166</x:v>
      </x:c>
      <x:c r="N5" s="14" t="n">
        <x:f aca="0">Rules!$B$5</x:f>
        <x:v>10</x:v>
      </x:c>
      <x:c r="O5" s="10" t="n">
        <x:f aca="0">K5+L5*(N5-1)</x:f>
        <x:v>7.5</x:v>
      </x:c>
      <x:c r="P5" s="10" t="n">
        <x:f aca="0">IF(H5="","",H5+IF(J5="",0,J5)*(N5-1))</x:f>
        <x:v>20.5</x:v>
      </x:c>
      <x:c r="Q5" s="9" t="str">
        <x:v>Radius 9 m.</x:v>
      </x:c>
      <x:c r="R5" s="9" t="str">
        <x:v>Terror lasts 4 s.</x:v>
      </x:c>
      <x:c r="S5" s="10" t="n">
        <x:f aca="0">INDEX(Rules!$B$11:$B$15,MATCH("Row unlock: "&amp;B5,Rules!$A$11:$A$15,0))+(D5-1)*Rules!$B$10</x:f>
        <x:v>1</x:v>
      </x:c>
      <x:c r="T5" s="10" t="n">
        <x:f aca="0">S5+(N5-1)*Rules!$B$8</x:f>
        <x:v>37</x:v>
      </x:c>
      <x:c r="U5" s="8" t="s">
        <x:v>167</x:v>
      </x:c>
      <x:c r="V5" s="9" t="s">
        <x:v>168</x:v>
      </x:c>
      <x:c r="W5" s="8" t="s">
        <x:v>169</x:v>
      </x:c>
      <x:c r="X5" s="15" t="n">
        <x:v>1</x:v>
      </x:c>
      <x:c r="Y5" s="15" t="s">
        <x:v>170</x:v>
      </x:c>
    </x:row>
    <x:row r="6" ht="76" hidden="0" customHeight="1">
      <x:c r="A6" s="10" t="s">
        <x:v>112</x:v>
      </x:c>
      <x:c r="B6" s="10" t="s">
        <x:v>162</x:v>
      </x:c>
      <x:c r="C6" s="8" t="s">
        <x:v>163</x:v>
      </x:c>
      <x:c r="D6" s="10" t="n">
        <x:v>2</x:v>
      </x:c>
      <x:c r="E6" s="8" t="s">
        <x:v>171</x:v>
      </x:c>
      <x:c r="F6" s="9" t="str">
        <x:v>Bites the legs: the target is stunned {v} s.</x:v>
      </x:c>
      <x:c r="G6" s="8" t="s">
        <x:v>172</x:v>
      </x:c>
      <x:c r="H6" s="8" t="n">
        <x:v>12</x:v>
      </x:c>
      <x:c r="I6" s="8" t="s">
        <x:v>173</x:v>
      </x:c>
      <x:c r="J6" s="8" t="n">
        <x:v>-0.5</x:v>
      </x:c>
      <x:c r="K6" s="8" t="n">
        <x:v>1</x:v>
      </x:c>
      <x:c r="L6" s="8" t="n">
        <x:v>0.15</x:v>
      </x:c>
      <x:c r="M6" s="8" t="s">
        <x:v>63</x:v>
      </x:c>
      <x:c r="N6" s="14" t="n">
        <x:f aca="0">Rules!$B$5</x:f>
        <x:v>10</x:v>
      </x:c>
      <x:c r="O6" s="10" t="n">
        <x:f aca="0">K6+L6*(N6-1)</x:f>
        <x:v>2.3499999999999996</x:v>
      </x:c>
      <x:c r="P6" s="10" t="n">
        <x:f aca="0">IF(H6="","",H6+IF(J6="",0,J6)*(N6-1))</x:f>
        <x:v>7.5</x:v>
      </x:c>
      <x:c r="Q6" s="9" t="str">
        <x:v>Planned, not active: After the stun the target is slowed 40% for 4 s.</x:v>
      </x:c>
      <x:c r="R6" s="9" t="str">
        <x:v>The stun also hits 2 enemies next to the target.</x:v>
      </x:c>
      <x:c r="S6" s="10" t="n">
        <x:f aca="0">INDEX(Rules!$B$11:$B$15,MATCH("Row unlock: "&amp;B6,Rules!$A$11:$A$15,0))+(D6-1)*Rules!$B$10</x:f>
        <x:v>6</x:v>
      </x:c>
      <x:c r="T6" s="10" t="n">
        <x:f aca="0">S6+(N6-1)*Rules!$B$8</x:f>
        <x:v>42</x:v>
      </x:c>
      <x:c r="U6" s="8" t="s">
        <x:v>174</x:v>
      </x:c>
      <x:c r="V6" s="9" t="s">
        <x:v>175</x:v>
      </x:c>
      <x:c r="W6" s="8" t="s">
        <x:v>169</x:v>
      </x:c>
      <x:c r="X6" s="15" t="n">
        <x:v>2</x:v>
      </x:c>
      <x:c r="Y6" s="15" t="s">
        <x:v>176</x:v>
      </x:c>
    </x:row>
    <x:row r="7" ht="23.25" hidden="0" customHeight="1">
      <x:c r="A7" s="10" t="s">
        <x:v>112</x:v>
      </x:c>
      <x:c r="B7" s="10" t="s">
        <x:v>162</x:v>
      </x:c>
      <x:c r="C7" s="8" t="s">
        <x:v>163</x:v>
      </x:c>
      <x:c r="D7" s="10" t="n">
        <x:v>3</x:v>
      </x:c>
      <x:c r="E7" s="8" t="s">
        <x:v>177</x:v>
      </x:c>
      <x:c r="F7" s="9" t="str">
        <x:v>Up to {v} monsters within 12 m must chase the wolf for 5 s.</x:v>
      </x:c>
      <x:c r="G7" s="8" t="s">
        <x:v>178</x:v>
      </x:c>
      <x:c r="H7" s="8" t="n">
        <x:v>4</x:v>
      </x:c>
      <x:c r="I7" s="8" t="s">
        <x:v>179</x:v>
      </x:c>
      <x:c r="J7" s="8" t="n">
        <x:v>-0.2</x:v>
      </x:c>
      <x:c r="K7" s="8" t="n">
        <x:v>2</x:v>
      </x:c>
      <x:c r="L7" s="8" t="n">
        <x:v>0.4</x:v>
      </x:c>
      <x:c r="M7" s="8" t="s">
        <x:v>166</x:v>
      </x:c>
      <x:c r="N7" s="14" t="n">
        <x:f aca="0">Rules!$B$5</x:f>
        <x:v>10</x:v>
      </x:c>
      <x:c r="O7" s="10" t="n">
        <x:f aca="0">K7+L7*(N7-1)</x:f>
        <x:v>5.6</x:v>
      </x:c>
      <x:c r="P7" s="10" t="n">
        <x:f aca="0">IF(H7="","",H7+IF(J7="",0,J7)*(N7-1))</x:f>
        <x:v>2.2</x:v>
      </x:c>
      <x:c r="Q7" s="9" t="s">
        <x:v>180</x:v>
      </x:c>
      <x:c r="R7" s="9" t="s">
        <x:v>181</x:v>
      </x:c>
      <x:c r="S7" s="10" t="n">
        <x:f aca="0">INDEX(Rules!$B$11:$B$15,MATCH("Row unlock: "&amp;B7,Rules!$A$11:$A$15,0))+(D7-1)*Rules!$B$10</x:f>
        <x:v>11</x:v>
      </x:c>
      <x:c r="T7" s="10" t="n">
        <x:f aca="0">S7+(N7-1)*Rules!$B$8</x:f>
        <x:v>47</x:v>
      </x:c>
      <x:c r="U7" s="8" t="s">
        <x:v>167</x:v>
      </x:c>
      <x:c r="V7" s="9" t="s">
        <x:v>182</x:v>
      </x:c>
      <x:c r="W7" s="8" t="s">
        <x:v>183</x:v>
      </x:c>
      <x:c r="X7" s="15" t="n">
        <x:v>3</x:v>
      </x:c>
      <x:c r="Y7" s="15" t="s">
        <x:v>184</x:v>
      </x:c>
    </x:row>
    <x:row r="8" ht="76" hidden="0" customHeight="1">
      <x:c r="A8" s="10" t="s">
        <x:v>112</x:v>
      </x:c>
      <x:c r="B8" s="10" t="s">
        <x:v>185</x:v>
      </x:c>
      <x:c r="C8" s="8" t="s">
        <x:v>186</x:v>
      </x:c>
      <x:c r="D8" s="10" t="n">
        <x:v>1</x:v>
      </x:c>
      <x:c r="E8" s="8" t="s">
        <x:v>187</x:v>
      </x:c>
      <x:c r="F8" s="9" t="str">
        <x:v>Commanded strike deals {v}% damage and applies bleeding: 2 x pet level every 2 s for 6 s.</x:v>
      </x:c>
      <x:c r="G8" s="8" t="s">
        <x:v>165</x:v>
      </x:c>
      <x:c r="H8" s="8" t="n">
        <x:v>12</x:v>
      </x:c>
      <x:c r="I8" s="8" t="s">
        <x:v>63</x:v>
      </x:c>
      <x:c r="J8" s="8" t="n">
        <x:v>-0.3</x:v>
      </x:c>
      <x:c r="K8" s="8" t="n">
        <x:v>120</x:v>
      </x:c>
      <x:c r="L8" s="8" t="n">
        <x:v>5</x:v>
      </x:c>
      <x:c r="M8" s="8" t="s">
        <x:v>79</x:v>
      </x:c>
      <x:c r="N8" s="14" t="n">
        <x:f aca="0">Rules!$B$5</x:f>
        <x:v>10</x:v>
      </x:c>
      <x:c r="O8" s="10" t="n">
        <x:f aca="0">K8+L8*(N8-1)</x:f>
        <x:v>165</x:v>
      </x:c>
      <x:c r="P8" s="10" t="n">
        <x:f aca="0">IF(H8="","",H8+IF(J8="",0,J8)*(N8-1))</x:f>
        <x:v>9.3</x:v>
      </x:c>
      <x:c r="Q8" s="9" t="str">
        <x:v>Doubles bleed damage per pulse. This is not two independently stacking bleeds.</x:v>
      </x:c>
      <x:c r="R8" s="9" t="str">
        <x:v>Bleeding targets below 30% HP are killed outright (not bosses).</x:v>
      </x:c>
      <x:c r="S8" s="10" t="n">
        <x:f aca="0">INDEX(Rules!$B$11:$B$15,MATCH("Row unlock: "&amp;B8,Rules!$A$11:$A$15,0))+(D8-1)*Rules!$B$10</x:f>
        <x:v>20</x:v>
      </x:c>
      <x:c r="T8" s="10" t="n">
        <x:f aca="0">S8+(N8-1)*Rules!$B$8</x:f>
        <x:v>56</x:v>
      </x:c>
      <x:c r="U8" s="8" t="s">
        <x:v>174</x:v>
      </x:c>
      <x:c r="V8" s="9" t="s">
        <x:v>188</x:v>
      </x:c>
      <x:c r="W8" s="8" t="s">
        <x:v>169</x:v>
      </x:c>
      <x:c r="X8" s="15" t="n">
        <x:v>4</x:v>
      </x:c>
      <x:c r="Y8" s="15" t="s">
        <x:v>189</x:v>
      </x:c>
    </x:row>
    <x:row r="9" ht="76" hidden="0" customHeight="1">
      <x:c r="A9" s="10" t="s">
        <x:v>112</x:v>
      </x:c>
      <x:c r="B9" s="10" t="s">
        <x:v>185</x:v>
      </x:c>
      <x:c r="C9" s="8" t="s">
        <x:v>186</x:v>
      </x:c>
      <x:c r="D9" s="10" t="n">
        <x:v>2</x:v>
      </x:c>
      <x:c r="E9" s="8" t="s">
        <x:v>190</x:v>
      </x:c>
      <x:c r="F9" s="9" t="str">
        <x:v>Attack speed +{v}% for 6 s.</x:v>
      </x:c>
      <x:c r="G9" s="8" t="s">
        <x:v>172</x:v>
      </x:c>
      <x:c r="H9" s="8" t="n">
        <x:v>20</x:v>
      </x:c>
      <x:c r="I9" s="8" t="s">
        <x:v>173</x:v>
      </x:c>
      <x:c r="J9" s="8" t="n">
        <x:v>-1</x:v>
      </x:c>
      <x:c r="K9" s="8" t="n">
        <x:v>25</x:v>
      </x:c>
      <x:c r="L9" s="8" t="n">
        <x:v>3</x:v>
      </x:c>
      <x:c r="M9" s="8" t="s">
        <x:v>191</x:v>
      </x:c>
      <x:c r="N9" s="14" t="n">
        <x:f aca="0">Rules!$B$5</x:f>
        <x:v>10</x:v>
      </x:c>
      <x:c r="O9" s="10" t="n">
        <x:f aca="0">K9+L9*(N9-1)</x:f>
        <x:v>52</x:v>
      </x:c>
      <x:c r="P9" s="10" t="n">
        <x:f aca="0">IF(H9="","",H9+IF(J9="",0,J9)*(N9-1))</x:f>
        <x:v>11</x:v>
      </x:c>
      <x:c r="Q9" s="9" t="str">
        <x:v>+15% critical chance while frenzied.</x:v>
      </x:c>
      <x:c r="R9" s="9" t="str">
        <x:v>Planned, not active: Every kill while frenzied adds 2 s.</x:v>
      </x:c>
      <x:c r="S9" s="10" t="n">
        <x:f aca="0">INDEX(Rules!$B$11:$B$15,MATCH("Row unlock: "&amp;B9,Rules!$A$11:$A$15,0))+(D9-1)*Rules!$B$10</x:f>
        <x:v>25</x:v>
      </x:c>
      <x:c r="T9" s="10" t="n">
        <x:f aca="0">S9+(N9-1)*Rules!$B$8</x:f>
        <x:v>61</x:v>
      </x:c>
      <x:c r="U9" s="8" t="s">
        <x:v>167</x:v>
      </x:c>
      <x:c r="V9" s="9" t="s">
        <x:v>192</x:v>
      </x:c>
      <x:c r="W9" s="8" t="s">
        <x:v>169</x:v>
      </x:c>
      <x:c r="X9" s="15" t="n">
        <x:v>5</x:v>
      </x:c>
      <x:c r="Y9" s="15" t="s">
        <x:v>193</x:v>
      </x:c>
    </x:row>
    <x:row r="10" ht="76" hidden="0" customHeight="1">
      <x:c r="A10" s="10" t="s">
        <x:v>112</x:v>
      </x:c>
      <x:c r="B10" s="10" t="s">
        <x:v>185</x:v>
      </x:c>
      <x:c r="C10" s="8" t="s">
        <x:v>186</x:v>
      </x:c>
      <x:c r="D10" s="10" t="n">
        <x:v>3</x:v>
      </x:c>
      <x:c r="E10" s="8" t="s">
        <x:v>194</x:v>
      </x:c>
      <x:c r="F10" s="9" t="str">
        <x:v>Next melee attack deals {v}% damage. The wolf approaches normally; this skill does not leap.</x:v>
      </x:c>
      <x:c r="G10" s="8" t="s">
        <x:v>165</x:v>
      </x:c>
      <x:c r="H10" s="8" t="n">
        <x:v>18</x:v>
      </x:c>
      <x:c r="I10" s="8" t="s">
        <x:v>63</x:v>
      </x:c>
      <x:c r="J10" s="8" t="n">
        <x:v>-0.5</x:v>
      </x:c>
      <x:c r="K10" s="8" t="n">
        <x:v>140</x:v>
      </x:c>
      <x:c r="L10" s="8" t="n">
        <x:v>6</x:v>
      </x:c>
      <x:c r="M10" s="8" t="s">
        <x:v>79</x:v>
      </x:c>
      <x:c r="N10" s="14" t="n">
        <x:f aca="0">Rules!$B$5</x:f>
        <x:v>10</x:v>
      </x:c>
      <x:c r="O10" s="10" t="n">
        <x:f aca="0">K10+L10*(N10-1)</x:f>
        <x:v>194</x:v>
      </x:c>
      <x:c r="P10" s="10" t="n">
        <x:f aca="0">IF(H10="","",H10+IF(J10="",0,J10)*(N10-1))</x:f>
        <x:v>13.5</x:v>
      </x:c>
      <x:c r="Q10" s="9" t="str">
        <x:v>The hit also attempts a 2 s stun (not knockdown).</x:v>
      </x:c>
      <x:c r="R10" s="9" t="str">
        <x:v>Lands with a 3 m splash for 50% to others.</x:v>
      </x:c>
      <x:c r="S10" s="10" t="n">
        <x:f aca="0">INDEX(Rules!$B$11:$B$15,MATCH("Row unlock: "&amp;B10,Rules!$A$11:$A$15,0))+(D10-1)*Rules!$B$10</x:f>
        <x:v>30</x:v>
      </x:c>
      <x:c r="T10" s="10" t="n">
        <x:f aca="0">S10+(N10-1)*Rules!$B$8</x:f>
        <x:v>66</x:v>
      </x:c>
      <x:c r="U10" s="8" t="s">
        <x:v>174</x:v>
      </x:c>
      <x:c r="V10" s="9" t="s">
        <x:v>195</x:v>
      </x:c>
      <x:c r="W10" s="8" t="s">
        <x:v>169</x:v>
      </x:c>
      <x:c r="X10" s="15" t="n">
        <x:v>6</x:v>
      </x:c>
      <x:c r="Y10" s="15" t="s">
        <x:v>196</x:v>
      </x:c>
    </x:row>
    <x:row r="11" ht="76" hidden="0" customHeight="1">
      <x:c r="A11" s="10" t="s">
        <x:v>112</x:v>
      </x:c>
      <x:c r="B11" s="10" t="s">
        <x:v>197</x:v>
      </x:c>
      <x:c r="C11" s="8" t="s">
        <x:v>198</x:v>
      </x:c>
      <x:c r="D11" s="10" t="n">
        <x:v>1</x:v>
      </x:c>
      <x:c r="E11" s="8" t="s">
        <x:v>199</x:v>
      </x:c>
      <x:c r="F11" s="9" t="str">
        <x:v>A damaging hit executes a non-unique monster if its remaining HP is below {v}% of maximum. Cannot execute through a block.</x:v>
      </x:c>
      <x:c r="G11" s="8" t="s">
        <x:v>200</x:v>
      </x:c>
      <x:c r="H11" s="8"/>
      <x:c r="I11" s="8"/>
      <x:c r="J11" s="8"/>
      <x:c r="K11" s="8" t="n">
        <x:v>5</x:v>
      </x:c>
      <x:c r="L11" s="8" t="n">
        <x:v>0.7</x:v>
      </x:c>
      <x:c r="M11" s="8" t="s">
        <x:v>201</x:v>
      </x:c>
      <x:c r="N11" s="14" t="n">
        <x:f aca="0">Rules!$B$5</x:f>
        <x:v>10</x:v>
      </x:c>
      <x:c r="O11" s="10" t="n">
        <x:f aca="0">K11+L11*(N11-1)</x:f>
        <x:v>11.3</x:v>
      </x:c>
      <x:c r="P11" s="10" t="str">
        <x:f aca="0">IF(H11="","",H11+IF(J11="",0,J11)*(N11-1))</x:f>
      </x:c>
      <x:c r="Q11" s="9" t="str">
        <x:v>+5% threshold against bleeding targets.</x:v>
      </x:c>
      <x:c r="R11" s="9" t="str">
        <x:v>Planned, not active: An execution heals the wolf 10% and takes 3 s off the Burst row.</x:v>
      </x:c>
      <x:c r="S11" s="10" t="n">
        <x:f aca="0">INDEX(Rules!$B$11:$B$15,MATCH("Row unlock: "&amp;B11,Rules!$A$11:$A$15,0))+(D11-1)*Rules!$B$10</x:f>
        <x:v>1</x:v>
      </x:c>
      <x:c r="T11" s="10" t="n">
        <x:f aca="0">S11+(N11-1)*Rules!$B$8</x:f>
        <x:v>37</x:v>
      </x:c>
      <x:c r="U11" s="8" t="s">
        <x:v>174</x:v>
      </x:c>
      <x:c r="V11" s="9" t="s">
        <x:v>202</x:v>
      </x:c>
      <x:c r="W11" s="8" t="s">
        <x:v>169</x:v>
      </x:c>
      <x:c r="X11" s="15" t="n">
        <x:v>7</x:v>
      </x:c>
      <x:c r="Y11" s="15" t="s">
        <x:v>203</x:v>
      </x:c>
    </x:row>
    <x:row r="12" ht="76" hidden="0" customHeight="1">
      <x:c r="A12" s="10" t="s">
        <x:v>112</x:v>
      </x:c>
      <x:c r="B12" s="10" t="s">
        <x:v>197</x:v>
      </x:c>
      <x:c r="C12" s="8" t="s">
        <x:v>198</x:v>
      </x:c>
      <x:c r="D12" s="10" t="n">
        <x:v>2</x:v>
      </x:c>
      <x:c r="E12" s="8" t="s">
        <x:v>204</x:v>
      </x:c>
      <x:c r="F12" s="9" t="str">
        <x:v>Every 10th damaging attack deals {v}% damage. Blocked hits do not advance the counter.</x:v>
      </x:c>
      <x:c r="G12" s="8" t="s">
        <x:v>172</x:v>
      </x:c>
      <x:c r="H12" s="8" t="n">
        <x:v>10</x:v>
      </x:c>
      <x:c r="I12" s="8" t="s">
        <x:v>173</x:v>
      </x:c>
      <x:c r="J12" s="8" t="n">
        <x:v>0</x:v>
      </x:c>
      <x:c r="K12" s="8" t="n">
        <x:v>250</x:v>
      </x:c>
      <x:c r="L12" s="8" t="n">
        <x:v>17</x:v>
      </x:c>
      <x:c r="M12" s="8" t="s">
        <x:v>79</x:v>
      </x:c>
      <x:c r="N12" s="14" t="n">
        <x:f aca="0">Rules!$B$5</x:f>
        <x:v>10</x:v>
      </x:c>
      <x:c r="O12" s="10" t="n">
        <x:f aca="0">K12+L12*(N12-1)</x:f>
        <x:v>403</x:v>
      </x:c>
      <x:c r="P12" s="10" t="n">
        <x:f aca="0">IF(H12="","",H12+IF(J12="",0,J12)*(N12-1))</x:f>
        <x:v>10</x:v>
      </x:c>
      <x:c r="Q12" s="9" t="str">
        <x:v>Every 8th attack instead.</x:v>
      </x:c>
      <x:c r="R12" s="9" t="str">
        <x:v>The empowered hit cleaves up to 5 targets within 3 m.</x:v>
      </x:c>
      <x:c r="S12" s="10" t="n">
        <x:f aca="0">INDEX(Rules!$B$11:$B$15,MATCH("Row unlock: "&amp;B12,Rules!$A$11:$A$15,0))+(D12-1)*Rules!$B$10</x:f>
        <x:v>6</x:v>
      </x:c>
      <x:c r="T12" s="10" t="n">
        <x:f aca="0">S12+(N12-1)*Rules!$B$8</x:f>
        <x:v>42</x:v>
      </x:c>
      <x:c r="U12" s="8" t="s">
        <x:v>174</x:v>
      </x:c>
      <x:c r="V12" s="9" t="s">
        <x:v>205</x:v>
      </x:c>
      <x:c r="W12" s="8" t="s">
        <x:v>169</x:v>
      </x:c>
      <x:c r="X12" s="15" t="n">
        <x:v>8</x:v>
      </x:c>
      <x:c r="Y12" s="15" t="s">
        <x:v>206</x:v>
      </x:c>
    </x:row>
    <x:row r="13" ht="76" hidden="0" customHeight="1">
      <x:c r="A13" s="10" t="s">
        <x:v>112</x:v>
      </x:c>
      <x:c r="B13" s="10" t="s">
        <x:v>197</x:v>
      </x:c>
      <x:c r="C13" s="8" t="s">
        <x:v>198</x:v>
      </x:c>
      <x:c r="D13" s="10" t="n">
        <x:v>3</x:v>
      </x:c>
      <x:c r="E13" s="8" t="s">
        <x:v>207</x:v>
      </x:c>
      <x:c r="F13" s="9" t="str">
        <x:v>+{v}% physical and magical attack while slotted.</x:v>
      </x:c>
      <x:c r="G13" s="8" t="s">
        <x:v>200</x:v>
      </x:c>
      <x:c r="H13" s="8"/>
      <x:c r="I13" s="8"/>
      <x:c r="J13" s="8"/>
      <x:c r="K13" s="8" t="n">
        <x:v>3</x:v>
      </x:c>
      <x:c r="L13" s="8" t="n">
        <x:v>3</x:v>
      </x:c>
      <x:c r="M13" s="8" t="s">
        <x:v>208</x:v>
      </x:c>
      <x:c r="N13" s="14" t="n">
        <x:f aca="0">Rules!$B$5</x:f>
        <x:v>10</x:v>
      </x:c>
      <x:c r="O13" s="10" t="n">
        <x:f aca="0">K13+L13*(N13-1)</x:f>
        <x:v>30</x:v>
      </x:c>
      <x:c r="P13" s="10" t="str">
        <x:f aca="0">IF(H13="","",H13+IF(J13="",0,J13)*(N13-1))</x:f>
      </x:c>
      <x:c r="Q13" s="9" t="str">
        <x:v>Planned, not active: +10% critical damage.</x:v>
      </x:c>
      <x:c r="R13" s="9" t="str">
        <x:v>Planned, not active: The owner gets +5% attack while the wolf lives.</x:v>
      </x:c>
      <x:c r="S13" s="10" t="n">
        <x:f aca="0">INDEX(Rules!$B$11:$B$15,MATCH("Row unlock: "&amp;B13,Rules!$A$11:$A$15,0))+(D13-1)*Rules!$B$10</x:f>
        <x:v>11</x:v>
      </x:c>
      <x:c r="T13" s="10" t="n">
        <x:f aca="0">S13+(N13-1)*Rules!$B$8</x:f>
        <x:v>47</x:v>
      </x:c>
      <x:c r="U13" s="8"/>
      <x:c r="V13" s="9" t="s">
        <x:v>209</x:v>
      </x:c>
      <x:c r="W13" s="8" t="s">
        <x:v>169</x:v>
      </x:c>
      <x:c r="X13" s="15" t="n">
        <x:v>9</x:v>
      </x:c>
      <x:c r="Y13" s="15" t="s">
        <x:v>210</x:v>
      </x:c>
    </x:row>
    <x:row r="14" ht="23.25" hidden="0" customHeight="1">
      <x:c r="A14" s="10" t="s">
        <x:v>112</x:v>
      </x:c>
      <x:c r="B14" s="10" t="s">
        <x:v>211</x:v>
      </x:c>
      <x:c r="C14" s="8" t="s">
        <x:v>212</x:v>
      </x:c>
      <x:c r="D14" s="10" t="n">
        <x:v>1</x:v>
      </x:c>
      <x:c r="E14" s="8" t="s">
        <x:v>213</x:v>
      </x:c>
      <x:c r="F14" s="9" t="str">
        <x:v>Wolf movement speed +{v}%.</x:v>
      </x:c>
      <x:c r="G14" s="8" t="s">
        <x:v>200</x:v>
      </x:c>
      <x:c r="H14" s="8"/>
      <x:c r="I14" s="8"/>
      <x:c r="J14" s="8"/>
      <x:c r="K14" s="8" t="n">
        <x:v>4</x:v>
      </x:c>
      <x:c r="L14" s="8" t="n">
        <x:v>1.2</x:v>
      </x:c>
      <x:c r="M14" s="8" t="s">
        <x:v>191</x:v>
      </x:c>
      <x:c r="N14" s="14" t="n">
        <x:f aca="0">Rules!$B$5</x:f>
        <x:v>10</x:v>
      </x:c>
      <x:c r="O14" s="10" t="n">
        <x:f aca="0">K14+L14*(N14-1)</x:f>
        <x:v>14.799999999999999</x:v>
      </x:c>
      <x:c r="P14" s="10" t="str">
        <x:f aca="0">IF(H14="","",H14+IF(J14="",0,J14)*(N14-1))</x:f>
      </x:c>
      <x:c r="Q14" s="9" t="s">
        <x:v>214</x:v>
      </x:c>
      <x:c r="R14" s="9" t="s">
        <x:v>215</x:v>
      </x:c>
      <x:c r="S14" s="10" t="n">
        <x:f aca="0">INDEX(Rules!$B$11:$B$15,MATCH("Row unlock: "&amp;B14,Rules!$A$11:$A$15,0))+(D14-1)*Rules!$B$10</x:f>
        <x:v>10</x:v>
      </x:c>
      <x:c r="T14" s="10" t="n">
        <x:f aca="0">S14+(N14-1)*Rules!$B$8</x:f>
        <x:v>46</x:v>
      </x:c>
      <x:c r="U14" s="8"/>
      <x:c r="V14" s="9" t="s">
        <x:v>216</x:v>
      </x:c>
      <x:c r="W14" s="8" t="s">
        <x:v>217</x:v>
      </x:c>
      <x:c r="X14" s="15" t="n">
        <x:v>10</x:v>
      </x:c>
      <x:c r="Y14" s="15" t="s">
        <x:v>218</x:v>
      </x:c>
    </x:row>
    <x:row r="15" ht="76" hidden="0" customHeight="1">
      <x:c r="A15" s="10" t="s">
        <x:v>112</x:v>
      </x:c>
      <x:c r="B15" s="10" t="s">
        <x:v>211</x:v>
      </x:c>
      <x:c r="C15" s="8" t="s">
        <x:v>212</x:v>
      </x:c>
      <x:c r="D15" s="10" t="n">
        <x:v>2</x:v>
      </x:c>
      <x:c r="E15" s="8" t="s">
        <x:v>219</x:v>
      </x:c>
      <x:c r="F15" s="9" t="str">
        <x:v>+{v}% critical chance against bleeding or wounded (below 50%) targets.</x:v>
      </x:c>
      <x:c r="G15" s="8" t="s">
        <x:v>200</x:v>
      </x:c>
      <x:c r="H15" s="8"/>
      <x:c r="I15" s="8"/>
      <x:c r="J15" s="8"/>
      <x:c r="K15" s="8" t="n">
        <x:v>3</x:v>
      </x:c>
      <x:c r="L15" s="8" t="n">
        <x:v>1</x:v>
      </x:c>
      <x:c r="M15" s="8" t="s">
        <x:v>220</x:v>
      </x:c>
      <x:c r="N15" s="14" t="n">
        <x:f aca="0">Rules!$B$5</x:f>
        <x:v>10</x:v>
      </x:c>
      <x:c r="O15" s="10" t="n">
        <x:f aca="0">K15+L15*(N15-1)</x:f>
        <x:v>12</x:v>
      </x:c>
      <x:c r="P15" s="10" t="str">
        <x:f aca="0">IF(H15="","",H15+IF(J15="",0,J15)*(N15-1))</x:f>
      </x:c>
      <x:c r="Q15" s="9" t="str">
        <x:v>Planned, not active: Critical hits refresh the bleed.</x:v>
      </x:c>
      <x:c r="R15" s="9" t="str">
        <x:v>Planned, not active: Critical hits heal the wolf 2%.</x:v>
      </x:c>
      <x:c r="S15" s="10" t="n">
        <x:f aca="0">INDEX(Rules!$B$11:$B$15,MATCH("Row unlock: "&amp;B15,Rules!$A$11:$A$15,0))+(D15-1)*Rules!$B$10</x:f>
        <x:v>15</x:v>
      </x:c>
      <x:c r="T15" s="10" t="n">
        <x:f aca="0">S15+(N15-1)*Rules!$B$8</x:f>
        <x:v>51</x:v>
      </x:c>
      <x:c r="U15" s="8"/>
      <x:c r="V15" s="9" t="s">
        <x:v>209</x:v>
      </x:c>
      <x:c r="W15" s="8" t="s">
        <x:v>169</x:v>
      </x:c>
      <x:c r="X15" s="15" t="n">
        <x:v>11</x:v>
      </x:c>
      <x:c r="Y15" s="15" t="s">
        <x:v>221</x:v>
      </x:c>
    </x:row>
    <x:row r="16" ht="76" hidden="0" customHeight="1">
      <x:c r="A16" s="10" t="s">
        <x:v>112</x:v>
      </x:c>
      <x:c r="B16" s="10" t="s">
        <x:v>211</x:v>
      </x:c>
      <x:c r="C16" s="8" t="s">
        <x:v>212</x:v>
      </x:c>
      <x:c r="D16" s="10" t="n">
        <x:v>3</x:v>
      </x:c>
      <x:c r="E16" s="8" t="s">
        <x:v>222</x:v>
      </x:c>
      <x:c r="F16" s="9" t="str">
        <x:v>+{v}% attack speed.</x:v>
      </x:c>
      <x:c r="G16" s="8" t="s">
        <x:v>200</x:v>
      </x:c>
      <x:c r="H16" s="8"/>
      <x:c r="I16" s="8"/>
      <x:c r="J16" s="8"/>
      <x:c r="K16" s="8" t="n">
        <x:v>2</x:v>
      </x:c>
      <x:c r="L16" s="8" t="n">
        <x:v>1.5</x:v>
      </x:c>
      <x:c r="M16" s="8" t="s">
        <x:v>191</x:v>
      </x:c>
      <x:c r="N16" s="14" t="n">
        <x:f aca="0">Rules!$B$5</x:f>
        <x:v>10</x:v>
      </x:c>
      <x:c r="O16" s="10" t="n">
        <x:f aca="0">K16+L16*(N16-1)</x:f>
        <x:v>15.5</x:v>
      </x:c>
      <x:c r="P16" s="10" t="str">
        <x:f aca="0">IF(H16="","",H16+IF(J16="",0,J16)*(N16-1))</x:f>
      </x:c>
      <x:c r="Q16" s="9" t="str">
        <x:v>Planned, not active: +5% movement speed.</x:v>
      </x:c>
      <x:c r="R16" s="9" t="str">
        <x:v>Planned, not active: Every 5th attack strikes twice.</x:v>
      </x:c>
      <x:c r="S16" s="10" t="n">
        <x:f aca="0">INDEX(Rules!$B$11:$B$15,MATCH("Row unlock: "&amp;B16,Rules!$A$11:$A$15,0))+(D16-1)*Rules!$B$10</x:f>
        <x:v>20</x:v>
      </x:c>
      <x:c r="T16" s="10" t="n">
        <x:f aca="0">S16+(N16-1)*Rules!$B$8</x:f>
        <x:v>56</x:v>
      </x:c>
      <x:c r="U16" s="8"/>
      <x:c r="V16" s="9" t="s">
        <x:v>223</x:v>
      </x:c>
      <x:c r="W16" s="8" t="s">
        <x:v>169</x:v>
      </x:c>
      <x:c r="X16" s="15" t="n">
        <x:v>12</x:v>
      </x:c>
      <x:c r="Y16" s="15" t="s">
        <x:v>224</x:v>
      </x:c>
    </x:row>
    <x:row r="17" ht="76" hidden="0" customHeight="1">
      <x:c r="A17" s="10" t="s">
        <x:v>112</x:v>
      </x:c>
      <x:c r="B17" s="10" t="s">
        <x:v>225</x:v>
      </x:c>
      <x:c r="C17" s="8" t="s">
        <x:v>226</x:v>
      </x:c>
      <x:c r="D17" s="10" t="n">
        <x:v>1</x:v>
      </x:c>
      <x:c r="E17" s="8" t="s">
        <x:v>227</x:v>
      </x:c>
      <x:c r="F17" s="9" t="str">
        <x:v>+{v}% physical and magical defense.</x:v>
      </x:c>
      <x:c r="G17" s="8" t="s">
        <x:v>200</x:v>
      </x:c>
      <x:c r="H17" s="8"/>
      <x:c r="I17" s="8"/>
      <x:c r="J17" s="8"/>
      <x:c r="K17" s="8" t="n">
        <x:v>3</x:v>
      </x:c>
      <x:c r="L17" s="8" t="n">
        <x:v>2</x:v>
      </x:c>
      <x:c r="M17" s="8" t="s">
        <x:v>82</x:v>
      </x:c>
      <x:c r="N17" s="14" t="n">
        <x:f aca="0">Rules!$B$5</x:f>
        <x:v>10</x:v>
      </x:c>
      <x:c r="O17" s="10" t="n">
        <x:f aca="0">K17+L17*(N17-1)</x:f>
        <x:v>21</x:v>
      </x:c>
      <x:c r="P17" s="10" t="str">
        <x:f aca="0">IF(H17="","",H17+IF(J17="",0,J17)*(N17-1))</x:f>
      </x:c>
      <x:c r="Q17" s="9" t="str">
        <x:v>Planned, not active: +5% parry.</x:v>
      </x:c>
      <x:c r="R17" s="9" t="str">
        <x:v>Planned, not active: +10% status resistance.</x:v>
      </x:c>
      <x:c r="S17" s="10" t="n">
        <x:f aca="0">INDEX(Rules!$B$11:$B$15,MATCH("Row unlock: "&amp;B17,Rules!$A$11:$A$15,0))+(D17-1)*Rules!$B$10</x:f>
        <x:v>30</x:v>
      </x:c>
      <x:c r="T17" s="10" t="n">
        <x:f aca="0">S17+(N17-1)*Rules!$B$8</x:f>
        <x:v>66</x:v>
      </x:c>
      <x:c r="U17" s="8"/>
      <x:c r="V17" s="9" t="s">
        <x:v>209</x:v>
      </x:c>
      <x:c r="W17" s="8" t="s">
        <x:v>169</x:v>
      </x:c>
      <x:c r="X17" s="15" t="n">
        <x:v>13</x:v>
      </x:c>
      <x:c r="Y17" s="15" t="s">
        <x:v>228</x:v>
      </x:c>
    </x:row>
    <x:row r="18" ht="76" hidden="0" customHeight="1">
      <x:c r="A18" s="10" t="s">
        <x:v>112</x:v>
      </x:c>
      <x:c r="B18" s="10" t="s">
        <x:v>225</x:v>
      </x:c>
      <x:c r="C18" s="8" t="s">
        <x:v>226</x:v>
      </x:c>
      <x:c r="D18" s="10" t="n">
        <x:v>2</x:v>
      </x:c>
      <x:c r="E18" s="8" t="s">
        <x:v>229</x:v>
      </x:c>
      <x:c r="F18" s="9" t="str">
        <x:v>{v}% of damage dealt heals the wolf.</x:v>
      </x:c>
      <x:c r="G18" s="8" t="s">
        <x:v>200</x:v>
      </x:c>
      <x:c r="H18" s="8"/>
      <x:c r="I18" s="8"/>
      <x:c r="J18" s="8"/>
      <x:c r="K18" s="8" t="n">
        <x:v>2</x:v>
      </x:c>
      <x:c r="L18" s="8" t="n">
        <x:v>0.6</x:v>
      </x:c>
      <x:c r="M18" s="8" t="s">
        <x:v>230</x:v>
      </x:c>
      <x:c r="N18" s="14" t="n">
        <x:f aca="0">Rules!$B$5</x:f>
        <x:v>10</x:v>
      </x:c>
      <x:c r="O18" s="10" t="n">
        <x:f aca="0">K18+L18*(N18-1)</x:f>
        <x:v>7.3999999999999995</x:v>
      </x:c>
      <x:c r="P18" s="10" t="str">
        <x:f aca="0">IF(H18="","",H18+IF(J18="",0,J18)*(N18-1))</x:f>
      </x:c>
      <x:c r="Q18" s="9" t="str">
        <x:v>Planned, not active: The owner is healed half as much.</x:v>
      </x:c>
      <x:c r="R18" s="9" t="str">
        <x:v>Planned, not active: Healing above full HP becomes a 10 s shield.</x:v>
      </x:c>
      <x:c r="S18" s="10" t="n">
        <x:f aca="0">INDEX(Rules!$B$11:$B$15,MATCH("Row unlock: "&amp;B18,Rules!$A$11:$A$15,0))+(D18-1)*Rules!$B$10</x:f>
        <x:v>35</x:v>
      </x:c>
      <x:c r="T18" s="10" t="n">
        <x:f aca="0">S18+(N18-1)*Rules!$B$8</x:f>
        <x:v>71</x:v>
      </x:c>
      <x:c r="U18" s="8"/>
      <x:c r="V18" s="9" t="s">
        <x:v>209</x:v>
      </x:c>
      <x:c r="W18" s="8" t="s">
        <x:v>169</x:v>
      </x:c>
      <x:c r="X18" s="15" t="n">
        <x:v>14</x:v>
      </x:c>
      <x:c r="Y18" s="15" t="s">
        <x:v>231</x:v>
      </x:c>
    </x:row>
    <x:row r="19" ht="76" hidden="0" customHeight="1">
      <x:c r="A19" s="10" t="s">
        <x:v>112</x:v>
      </x:c>
      <x:c r="B19" s="10" t="s">
        <x:v>225</x:v>
      </x:c>
      <x:c r="C19" s="8" t="s">
        <x:v>226</x:v>
      </x:c>
      <x:c r="D19" s="10" t="n">
        <x:v>3</x:v>
      </x:c>
      <x:c r="E19" s="8" t="s">
        <x:v>232</x:v>
      </x:c>
      <x:c r="F19" s="9" t="str">
        <x:v>On its next attack while below 30% HP, heals the wolf for {v}% of maximum HP. Recovery has its own timer.</x:v>
      </x:c>
      <x:c r="G19" s="8" t="s">
        <x:v>165</x:v>
      </x:c>
      <x:c r="H19" s="8" t="n">
        <x:v>90</x:v>
      </x:c>
      <x:c r="I19" s="8" t="s">
        <x:v>63</x:v>
      </x:c>
      <x:c r="J19" s="8" t="n">
        <x:v>-3</x:v>
      </x:c>
      <x:c r="K19" s="8" t="n">
        <x:v>15</x:v>
      </x:c>
      <x:c r="L19" s="8" t="n">
        <x:v>2</x:v>
      </x:c>
      <x:c r="M19" s="8" t="s">
        <x:v>201</x:v>
      </x:c>
      <x:c r="N19" s="14" t="n">
        <x:f aca="0">Rules!$B$5</x:f>
        <x:v>10</x:v>
      </x:c>
      <x:c r="O19" s="10" t="n">
        <x:f aca="0">K19+L19*(N19-1)</x:f>
        <x:v>33</x:v>
      </x:c>
      <x:c r="P19" s="10" t="n">
        <x:f aca="0">IF(H19="","",H19+IF(J19="",0,J19)*(N19-1))</x:f>
        <x:v>63</x:v>
      </x:c>
      <x:c r="Q19" s="9" t="str">
        <x:v>Planned, not active: Also clears one harmful status.</x:v>
      </x:c>
      <x:c r="R19" s="9" t="str">
        <x:v>Planned, not active: Also heals the owner the same amount.</x:v>
      </x:c>
      <x:c r="S19" s="10" t="n">
        <x:f aca="0">INDEX(Rules!$B$11:$B$15,MATCH("Row unlock: "&amp;B19,Rules!$A$11:$A$15,0))+(D19-1)*Rules!$B$10</x:f>
        <x:v>40</x:v>
      </x:c>
      <x:c r="T19" s="10" t="n">
        <x:f aca="0">S19+(N19-1)*Rules!$B$8</x:f>
        <x:v>76</x:v>
      </x:c>
      <x:c r="U19" s="8" t="s">
        <x:v>167</x:v>
      </x:c>
      <x:c r="V19" s="9" t="s">
        <x:v>233</x:v>
      </x:c>
      <x:c r="W19" s="8" t="s">
        <x:v>169</x:v>
      </x:c>
      <x:c r="X19" s="15" t="n">
        <x:v>15</x:v>
      </x:c>
      <x:c r="Y19" s="15" t="s">
        <x:v>234</x:v>
      </x:c>
    </x:row>
    <x:row r="20" ht="15" hidden="0" customHeight="1">
      <x:c r="A20" s="16" t="s">
        <x:v>104</x:v>
      </x:c>
      <x:c r="B20" s="16" t="s">
        <x:v>162</x:v>
      </x:c>
      <x:c r="C20" s="8" t="s">
        <x:v>235</x:v>
      </x:c>
      <x:c r="D20" s="16" t="n">
        <x:v>1</x:v>
      </x:c>
      <x:c r="E20" s="8" t="s">
        <x:v>236</x:v>
      </x:c>
      <x:c r="F20" s="9" t="str">
        <x:v>Taunts up to {v} monsters. Radius grows with proficiency; party monsters require Tier II. Uniques are immune. No damage.</x:v>
      </x:c>
      <x:c r="G20" s="8" t="s">
        <x:v>165</x:v>
      </x:c>
      <x:c r="H20" s="8" t="n">
        <x:v>18</x:v>
      </x:c>
      <x:c r="I20" s="8" t="s">
        <x:v>63</x:v>
      </x:c>
      <x:c r="J20" s="8" t="n">
        <x:v>-0.5</x:v>
      </x:c>
      <x:c r="K20" s="8" t="n">
        <x:v>3</x:v>
      </x:c>
      <x:c r="L20" s="8" t="n">
        <x:v>0.5</x:v>
      </x:c>
      <x:c r="M20" s="8" t="s">
        <x:v>166</x:v>
      </x:c>
      <x:c r="N20" s="14" t="n">
        <x:f aca="0">Rules!$B$5</x:f>
        <x:v>10</x:v>
      </x:c>
      <x:c r="O20" s="16" t="n">
        <x:f aca="0">K20+L20*(N20-1)</x:f>
        <x:v>7.5</x:v>
      </x:c>
      <x:c r="P20" s="16" t="n">
        <x:f aca="0">IF(H20="","",H20+IF(J20="",0,J20)*(N20-1))</x:f>
        <x:v>13.5</x:v>
      </x:c>
      <x:c r="Q20" s="9" t="str">
        <x:v>Tier II admits party monsters; base radius 12 m.</x:v>
      </x:c>
      <x:c r="R20" s="9" t="str">
        <x:v>Tier III admits 6 monsters; base radius 16 m. Uniques remain immune.</x:v>
      </x:c>
      <x:c r="S20" s="16" t="n">
        <x:f aca="0">INDEX(Rules!$B$11:$B$15,MATCH("Row unlock: "&amp;B20,Rules!$A$11:$A$15,0))+(D20-1)*Rules!$B$10</x:f>
        <x:v>1</x:v>
      </x:c>
      <x:c r="T20" s="16" t="n">
        <x:f aca="0">S20+(N20-1)*Rules!$B$8</x:f>
        <x:v>37</x:v>
      </x:c>
      <x:c r="U20" s="8" t="s">
        <x:v>167</x:v>
      </x:c>
      <x:c r="V20" s="9" t="s">
        <x:v>237</x:v>
      </x:c>
      <x:c r="W20" s="8" t="s">
        <x:v>183</x:v>
      </x:c>
      <x:c r="X20" s="15" t="n">
        <x:v>16</x:v>
      </x:c>
      <x:c r="Y20" s="15" t="s">
        <x:v>238</x:v>
      </x:c>
    </x:row>
    <x:row r="21" ht="76" hidden="0" customHeight="1">
      <x:c r="A21" s="16" t="s">
        <x:v>104</x:v>
      </x:c>
      <x:c r="B21" s="16" t="s">
        <x:v>162</x:v>
      </x:c>
      <x:c r="C21" s="8" t="s">
        <x:v>235</x:v>
      </x:c>
      <x:c r="D21" s="16" t="n">
        <x:v>2</x:v>
      </x:c>
      <x:c r="E21" s="8" t="s">
        <x:v>239</x:v>
      </x:c>
      <x:c r="F21" s="9" t="str">
        <x:v>Stuns up to {v} monsters within 4 m for 1.5 s.</x:v>
      </x:c>
      <x:c r="G21" s="8" t="s">
        <x:v>240</x:v>
      </x:c>
      <x:c r="H21" s="8" t="n">
        <x:v>15</x:v>
      </x:c>
      <x:c r="I21" s="8" t="s">
        <x:v>241</x:v>
      </x:c>
      <x:c r="J21" s="8" t="n">
        <x:v>-0.5</x:v>
      </x:c>
      <x:c r="K21" s="8" t="n">
        <x:v>2</x:v>
      </x:c>
      <x:c r="L21" s="8" t="n">
        <x:v>0.4</x:v>
      </x:c>
      <x:c r="M21" s="8" t="s">
        <x:v>166</x:v>
      </x:c>
      <x:c r="N21" s="14" t="n">
        <x:f aca="0">Rules!$B$5</x:f>
        <x:v>10</x:v>
      </x:c>
      <x:c r="O21" s="16" t="n">
        <x:f aca="0">K21+L21*(N21-1)</x:f>
        <x:v>5.6</x:v>
      </x:c>
      <x:c r="P21" s="16" t="n">
        <x:f aca="0">IF(H21="","",H21+IF(J21="",0,J21)*(N21-1))</x:f>
        <x:v>10.5</x:v>
      </x:c>
      <x:c r="Q21" s="9" t="str">
        <x:v>Stun lasts 2.5 s.</x:v>
      </x:c>
      <x:c r="R21" s="9" t="str">
        <x:v>Planned, not active: An aftershock 2 s later deals 100% damage.</x:v>
      </x:c>
      <x:c r="S21" s="16" t="n">
        <x:f aca="0">INDEX(Rules!$B$11:$B$15,MATCH("Row unlock: "&amp;B21,Rules!$A$11:$A$15,0))+(D21-1)*Rules!$B$10</x:f>
        <x:v>6</x:v>
      </x:c>
      <x:c r="T21" s="16" t="n">
        <x:f aca="0">S21+(N21-1)*Rules!$B$8</x:f>
        <x:v>42</x:v>
      </x:c>
      <x:c r="U21" s="8" t="s">
        <x:v>174</x:v>
      </x:c>
      <x:c r="V21" s="9" t="s">
        <x:v>242</x:v>
      </x:c>
      <x:c r="W21" s="8" t="s">
        <x:v>169</x:v>
      </x:c>
      <x:c r="X21" s="15" t="n">
        <x:v>17</x:v>
      </x:c>
      <x:c r="Y21" s="15" t="s">
        <x:v>243</x:v>
      </x:c>
    </x:row>
    <x:row r="22" ht="23.25" hidden="0" customHeight="1">
      <x:c r="A22" s="16" t="s">
        <x:v>104</x:v>
      </x:c>
      <x:c r="B22" s="16" t="s">
        <x:v>162</x:v>
      </x:c>
      <x:c r="C22" s="8" t="s">
        <x:v>235</x:v>
      </x:c>
      <x:c r="D22" s="16" t="n">
        <x:v>3</x:v>
      </x:c>
      <x:c r="E22" s="8" t="s">
        <x:v>244</x:v>
      </x:c>
      <x:c r="F22" s="9" t="str">
        <x:v>Drags one monster from up to 15 m to the bear and holds it {v} s.</x:v>
      </x:c>
      <x:c r="G22" s="8" t="s">
        <x:v>165</x:v>
      </x:c>
      <x:c r="H22" s="8" t="n">
        <x:v>15</x:v>
      </x:c>
      <x:c r="I22" s="8" t="s">
        <x:v>63</x:v>
      </x:c>
      <x:c r="J22" s="8" t="n">
        <x:v>-0.4</x:v>
      </x:c>
      <x:c r="K22" s="8" t="n">
        <x:v>2</x:v>
      </x:c>
      <x:c r="L22" s="8" t="n">
        <x:v>0.2</x:v>
      </x:c>
      <x:c r="M22" s="8" t="s">
        <x:v>63</x:v>
      </x:c>
      <x:c r="N22" s="14" t="n">
        <x:f aca="0">Rules!$B$5</x:f>
        <x:v>10</x:v>
      </x:c>
      <x:c r="O22" s="16" t="n">
        <x:f aca="0">K22+L22*(N22-1)</x:f>
        <x:v>3.8</x:v>
      </x:c>
      <x:c r="P22" s="16" t="n">
        <x:f aca="0">IF(H22="","",H22+IF(J22="",0,J22)*(N22-1))</x:f>
        <x:v>11.4</x:v>
      </x:c>
      <x:c r="Q22" s="9" t="s">
        <x:v>245</x:v>
      </x:c>
      <x:c r="R22" s="9" t="s">
        <x:v>246</x:v>
      </x:c>
      <x:c r="S22" s="16" t="n">
        <x:f aca="0">INDEX(Rules!$B$11:$B$15,MATCH("Row unlock: "&amp;B22,Rules!$A$11:$A$15,0))+(D22-1)*Rules!$B$10</x:f>
        <x:v>11</x:v>
      </x:c>
      <x:c r="T22" s="16" t="n">
        <x:f aca="0">S22+(N22-1)*Rules!$B$8</x:f>
        <x:v>47</x:v>
      </x:c>
      <x:c r="U22" s="8" t="s">
        <x:v>174</x:v>
      </x:c>
      <x:c r="V22" s="9" t="s">
        <x:v>247</x:v>
      </x:c>
      <x:c r="W22" s="8" t="s">
        <x:v>217</x:v>
      </x:c>
      <x:c r="X22" s="15" t="n">
        <x:v>18</x:v>
      </x:c>
      <x:c r="Y22" s="15" t="s">
        <x:v>248</x:v>
      </x:c>
    </x:row>
    <x:row r="23" ht="76" hidden="0" customHeight="1">
      <x:c r="A23" s="16" t="s">
        <x:v>104</x:v>
      </x:c>
      <x:c r="B23" s="16" t="s">
        <x:v>185</x:v>
      </x:c>
      <x:c r="C23" s="8" t="s">
        <x:v>249</x:v>
      </x:c>
      <x:c r="D23" s="16" t="n">
        <x:v>1</x:v>
      </x:c>
      <x:c r="E23" s="8" t="s">
        <x:v>250</x:v>
      </x:c>
      <x:c r="F23" s="9" t="str">
        <x:v>For 10 s, records actual hostile damage received. The next attack after the window deals at least {v}% of stored damage to up to 8 targets within 5 m. Requires another attack to release.</x:v>
      </x:c>
      <x:c r="G23" s="8" t="s">
        <x:v>240</x:v>
      </x:c>
      <x:c r="H23" s="8" t="n">
        <x:v>30</x:v>
      </x:c>
      <x:c r="I23" s="8" t="s">
        <x:v>241</x:v>
      </x:c>
      <x:c r="J23" s="8" t="n">
        <x:v>-1</x:v>
      </x:c>
      <x:c r="K23" s="8" t="n">
        <x:v>60</x:v>
      </x:c>
      <x:c r="L23" s="8" t="n">
        <x:v>8</x:v>
      </x:c>
      <x:c r="M23" s="8" t="s">
        <x:v>251</x:v>
      </x:c>
      <x:c r="N23" s="14" t="n">
        <x:f aca="0">Rules!$B$5</x:f>
        <x:v>10</x:v>
      </x:c>
      <x:c r="O23" s="16" t="n">
        <x:f aca="0">K23+L23*(N23-1)</x:f>
        <x:v>132</x:v>
      </x:c>
      <x:c r="P23" s="16" t="n">
        <x:f aca="0">IF(H23="","",H23+IF(J23="",0,J23)*(N23-1))</x:f>
        <x:v>21</x:v>
      </x:c>
      <x:c r="Q23" s="9" t="str">
        <x:v>Planned, not active: Also heals the bear 25% of the stored damage.</x:v>
      </x:c>
      <x:c r="R23" s="9" t="str">
        <x:v>The release stuns for 2 s.</x:v>
      </x:c>
      <x:c r="S23" s="16" t="n">
        <x:f aca="0">INDEX(Rules!$B$11:$B$15,MATCH("Row unlock: "&amp;B23,Rules!$A$11:$A$15,0))+(D23-1)*Rules!$B$10</x:f>
        <x:v>20</x:v>
      </x:c>
      <x:c r="T23" s="16" t="n">
        <x:f aca="0">S23+(N23-1)*Rules!$B$8</x:f>
        <x:v>56</x:v>
      </x:c>
      <x:c r="U23" s="8" t="s">
        <x:v>167</x:v>
      </x:c>
      <x:c r="V23" s="9" t="s">
        <x:v>252</x:v>
      </x:c>
      <x:c r="W23" s="8" t="s">
        <x:v>169</x:v>
      </x:c>
      <x:c r="X23" s="15" t="n">
        <x:v>19</x:v>
      </x:c>
      <x:c r="Y23" s="15" t="s">
        <x:v>253</x:v>
      </x:c>
    </x:row>
    <x:row r="24" ht="76" hidden="0" customHeight="1">
      <x:c r="A24" s="16" t="s">
        <x:v>104</x:v>
      </x:c>
      <x:c r="B24" s="16" t="s">
        <x:v>185</x:v>
      </x:c>
      <x:c r="C24" s="8" t="s">
        <x:v>249</x:v>
      </x:c>
      <x:c r="D24" s="16" t="n">
        <x:v>2</x:v>
      </x:c>
      <x:c r="E24" s="8" t="s">
        <x:v>254</x:v>
      </x:c>
      <x:c r="F24" s="9" t="str">
        <x:v>Damage taken -{v}% for 6 s.</x:v>
      </x:c>
      <x:c r="G24" s="8" t="s">
        <x:v>165</x:v>
      </x:c>
      <x:c r="H24" s="8" t="n">
        <x:v>30</x:v>
      </x:c>
      <x:c r="I24" s="8" t="s">
        <x:v>63</x:v>
      </x:c>
      <x:c r="J24" s="8" t="n">
        <x:v>-1</x:v>
      </x:c>
      <x:c r="K24" s="8" t="n">
        <x:v>30</x:v>
      </x:c>
      <x:c r="L24" s="8" t="n">
        <x:v>2.5</x:v>
      </x:c>
      <x:c r="M24" s="8" t="s">
        <x:v>255</x:v>
      </x:c>
      <x:c r="N24" s="14" t="n">
        <x:f aca="0">Rules!$B$5</x:f>
        <x:v>10</x:v>
      </x:c>
      <x:c r="O24" s="16" t="n">
        <x:f aca="0">K24+L24*(N24-1)</x:f>
        <x:v>52.5</x:v>
      </x:c>
      <x:c r="P24" s="16" t="n">
        <x:f aca="0">IF(H24="","",H24+IF(J24="",0,J24)*(N24-1))</x:f>
        <x:v>21</x:v>
      </x:c>
      <x:c r="Q24" s="9" t="str">
        <x:v>Planned, not active: Immune to knockdown while active.</x:v>
      </x:c>
      <x:c r="R24" s="9" t="str">
        <x:v>Planned, not active: The owner gets half the reduction.</x:v>
      </x:c>
      <x:c r="S24" s="16" t="n">
        <x:f aca="0">INDEX(Rules!$B$11:$B$15,MATCH("Row unlock: "&amp;B24,Rules!$A$11:$A$15,0))+(D24-1)*Rules!$B$10</x:f>
        <x:v>25</x:v>
      </x:c>
      <x:c r="T24" s="16" t="n">
        <x:f aca="0">S24+(N24-1)*Rules!$B$8</x:f>
        <x:v>61</x:v>
      </x:c>
      <x:c r="U24" s="8" t="s">
        <x:v>167</x:v>
      </x:c>
      <x:c r="V24" s="9" t="str">
        <x:v>Reviewed against current handler. Base effect live. Only rank text without Planned is active.</x:v>
      </x:c>
      <x:c r="W24" s="8" t="s">
        <x:v>169</x:v>
      </x:c>
      <x:c r="X24" s="15" t="n">
        <x:v>20</x:v>
      </x:c>
      <x:c r="Y24" s="15" t="s">
        <x:v>256</x:v>
      </x:c>
    </x:row>
    <x:row r="25" ht="23.25" hidden="0" customHeight="1">
      <x:c r="A25" s="16" t="s">
        <x:v>104</x:v>
      </x:c>
      <x:c r="B25" s="16" t="s">
        <x:v>185</x:v>
      </x:c>
      <x:c r="C25" s="8" t="s">
        <x:v>249</x:v>
      </x:c>
      <x:c r="D25" s="16" t="n">
        <x:v>3</x:v>
      </x:c>
      <x:c r="E25" s="8" t="s">
        <x:v>257</x:v>
      </x:c>
      <x:c r="F25" s="9" t="str">
        <x:v>Takes {v}% of the owner's damage for 10 s.</x:v>
      </x:c>
      <x:c r="G25" s="8" t="s">
        <x:v>165</x:v>
      </x:c>
      <x:c r="H25" s="8" t="n">
        <x:v>40</x:v>
      </x:c>
      <x:c r="I25" s="8" t="s">
        <x:v>63</x:v>
      </x:c>
      <x:c r="J25" s="8" t="n">
        <x:v>-1</x:v>
      </x:c>
      <x:c r="K25" s="8" t="n">
        <x:v>20</x:v>
      </x:c>
      <x:c r="L25" s="8" t="n">
        <x:v>2</x:v>
      </x:c>
      <x:c r="M25" s="8" t="s">
        <x:v>258</x:v>
      </x:c>
      <x:c r="N25" s="14" t="n">
        <x:f aca="0">Rules!$B$5</x:f>
        <x:v>10</x:v>
      </x:c>
      <x:c r="O25" s="16" t="n">
        <x:f aca="0">K25+L25*(N25-1)</x:f>
        <x:v>38</x:v>
      </x:c>
      <x:c r="P25" s="16" t="n">
        <x:f aca="0">IF(H25="","",H25+IF(J25="",0,J25)*(N25-1))</x:f>
        <x:v>31</x:v>
      </x:c>
      <x:c r="Q25" s="9" t="s">
        <x:v>259</x:v>
      </x:c>
      <x:c r="R25" s="9" t="s">
        <x:v>260</x:v>
      </x:c>
      <x:c r="S25" s="16" t="n">
        <x:f aca="0">INDEX(Rules!$B$11:$B$15,MATCH("Row unlock: "&amp;B25,Rules!$A$11:$A$15,0))+(D25-1)*Rules!$B$10</x:f>
        <x:v>30</x:v>
      </x:c>
      <x:c r="T25" s="16" t="n">
        <x:f aca="0">S25+(N25-1)*Rules!$B$8</x:f>
        <x:v>66</x:v>
      </x:c>
      <x:c r="U25" s="8" t="s">
        <x:v>167</x:v>
      </x:c>
      <x:c r="V25" s="9" t="s">
        <x:v>261</x:v>
      </x:c>
      <x:c r="W25" s="8" t="s">
        <x:v>183</x:v>
      </x:c>
      <x:c r="X25" s="15" t="n">
        <x:v>21</x:v>
      </x:c>
      <x:c r="Y25" s="15" t="s">
        <x:v>262</x:v>
      </x:c>
    </x:row>
    <x:row r="26" ht="76" hidden="0" customHeight="1">
      <x:c r="A26" s="16" t="s">
        <x:v>104</x:v>
      </x:c>
      <x:c r="B26" s="16" t="s">
        <x:v>197</x:v>
      </x:c>
      <x:c r="C26" s="8" t="s">
        <x:v>263</x:v>
      </x:c>
      <x:c r="D26" s="16" t="n">
        <x:v>1</x:v>
      </x:c>
      <x:c r="E26" s="8" t="s">
        <x:v>264</x:v>
      </x:c>
      <x:c r="F26" s="9" t="str">
        <x:v>+{v}% physical and magical defense.</x:v>
      </x:c>
      <x:c r="G26" s="8" t="s">
        <x:v>200</x:v>
      </x:c>
      <x:c r="H26" s="8"/>
      <x:c r="I26" s="8"/>
      <x:c r="J26" s="8"/>
      <x:c r="K26" s="8" t="n">
        <x:v>4</x:v>
      </x:c>
      <x:c r="L26" s="8" t="n">
        <x:v>2</x:v>
      </x:c>
      <x:c r="M26" s="8" t="s">
        <x:v>82</x:v>
      </x:c>
      <x:c r="N26" s="14" t="n">
        <x:f aca="0">Rules!$B$5</x:f>
        <x:v>10</x:v>
      </x:c>
      <x:c r="O26" s="16" t="n">
        <x:f aca="0">K26+L26*(N26-1)</x:f>
        <x:v>22</x:v>
      </x:c>
      <x:c r="P26" s="16" t="str">
        <x:f aca="0">IF(H26="","",H26+IF(J26="",0,J26)*(N26-1))</x:f>
      </x:c>
      <x:c r="Q26" s="9" t="str">
        <x:v>Planned, not active: +5% block.</x:v>
      </x:c>
      <x:c r="R26" s="9" t="str">
        <x:v>Planned, not active: +10% status resistance.</x:v>
      </x:c>
      <x:c r="S26" s="16" t="n">
        <x:f aca="0">INDEX(Rules!$B$11:$B$15,MATCH("Row unlock: "&amp;B26,Rules!$A$11:$A$15,0))+(D26-1)*Rules!$B$10</x:f>
        <x:v>1</x:v>
      </x:c>
      <x:c r="T26" s="16" t="n">
        <x:f aca="0">S26+(N26-1)*Rules!$B$8</x:f>
        <x:v>37</x:v>
      </x:c>
      <x:c r="U26" s="8"/>
      <x:c r="V26" s="9" t="s">
        <x:v>209</x:v>
      </x:c>
      <x:c r="W26" s="8" t="s">
        <x:v>169</x:v>
      </x:c>
      <x:c r="X26" s="15" t="n">
        <x:v>22</x:v>
      </x:c>
      <x:c r="Y26" s="15" t="s">
        <x:v>265</x:v>
      </x:c>
    </x:row>
    <x:row r="27" ht="15" hidden="0" customHeight="1">
      <x:c r="A27" s="16" t="s">
        <x:v>104</x:v>
      </x:c>
      <x:c r="B27" s="16" t="s">
        <x:v>197</x:v>
      </x:c>
      <x:c r="C27" s="8" t="s">
        <x:v>263</x:v>
      </x:c>
      <x:c r="D27" s="16" t="n">
        <x:v>2</x:v>
      </x:c>
      <x:c r="E27" s="8" t="s">
        <x:v>266</x:v>
      </x:c>
      <x:c r="F27" s="9" t="str">
        <x:v>+{v}% max HP.</x:v>
      </x:c>
      <x:c r="G27" s="8" t="s">
        <x:v>200</x:v>
      </x:c>
      <x:c r="H27" s="8"/>
      <x:c r="I27" s="8"/>
      <x:c r="J27" s="8"/>
      <x:c r="K27" s="8" t="n">
        <x:v>5</x:v>
      </x:c>
      <x:c r="L27" s="8" t="n">
        <x:v>2.5</x:v>
      </x:c>
      <x:c r="M27" s="8" t="s">
        <x:v>201</x:v>
      </x:c>
      <x:c r="N27" s="14" t="n">
        <x:f aca="0">Rules!$B$5</x:f>
        <x:v>10</x:v>
      </x:c>
      <x:c r="O27" s="16" t="n">
        <x:f aca="0">K27+L27*(N27-1)</x:f>
        <x:v>27.5</x:v>
      </x:c>
      <x:c r="P27" s="16" t="str">
        <x:f aca="0">IF(H27="","",H27+IF(J27="",0,J27)*(N27-1))</x:f>
      </x:c>
      <x:c r="Q27" s="9" t="s">
        <x:v>267</x:v>
      </x:c>
      <x:c r="R27" s="9" t="s">
        <x:v>268</x:v>
      </x:c>
      <x:c r="S27" s="16" t="n">
        <x:f aca="0">INDEX(Rules!$B$11:$B$15,MATCH("Row unlock: "&amp;B27,Rules!$A$11:$A$15,0))+(D27-1)*Rules!$B$10</x:f>
        <x:v>6</x:v>
      </x:c>
      <x:c r="T27" s="16" t="n">
        <x:f aca="0">S27+(N27-1)*Rules!$B$8</x:f>
        <x:v>42</x:v>
      </x:c>
      <x:c r="U27" s="8"/>
      <x:c r="V27" s="9"/>
      <x:c r="W27" s="8" t="s">
        <x:v>217</x:v>
      </x:c>
      <x:c r="X27" s="15" t="n">
        <x:v>23</x:v>
      </x:c>
      <x:c r="Y27" s="15" t="s">
        <x:v>269</x:v>
      </x:c>
    </x:row>
    <x:row r="28" ht="23.25" hidden="0" customHeight="1">
      <x:c r="A28" s="16" t="s">
        <x:v>104</x:v>
      </x:c>
      <x:c r="B28" s="16" t="s">
        <x:v>197</x:v>
      </x:c>
      <x:c r="C28" s="8" t="s">
        <x:v>263</x:v>
      </x:c>
      <x:c r="D28" s="16" t="n">
        <x:v>3</x:v>
      </x:c>
      <x:c r="E28" s="8" t="s">
        <x:v>270</x:v>
      </x:c>
      <x:c r="F28" s="9" t="str">
        <x:v>Attackers take {v}% of their damage back.</x:v>
      </x:c>
      <x:c r="G28" s="8" t="s">
        <x:v>200</x:v>
      </x:c>
      <x:c r="H28" s="8"/>
      <x:c r="I28" s="8"/>
      <x:c r="J28" s="8"/>
      <x:c r="K28" s="8" t="n">
        <x:v>10</x:v>
      </x:c>
      <x:c r="L28" s="8" t="n">
        <x:v>4</x:v>
      </x:c>
      <x:c r="M28" s="8" t="s">
        <x:v>271</x:v>
      </x:c>
      <x:c r="N28" s="14" t="n">
        <x:f aca="0">Rules!$B$5</x:f>
        <x:v>10</x:v>
      </x:c>
      <x:c r="O28" s="16" t="n">
        <x:f aca="0">K28+L28*(N28-1)</x:f>
        <x:v>46</x:v>
      </x:c>
      <x:c r="P28" s="16" t="str">
        <x:f aca="0">IF(H28="","",H28+IF(J28="",0,J28)*(N28-1))</x:f>
      </x:c>
      <x:c r="Q28" s="9" t="s">
        <x:v>272</x:v>
      </x:c>
      <x:c r="R28" s="9" t="s">
        <x:v>273</x:v>
      </x:c>
      <x:c r="S28" s="16" t="n">
        <x:f aca="0">INDEX(Rules!$B$11:$B$15,MATCH("Row unlock: "&amp;B28,Rules!$A$11:$A$15,0))+(D28-1)*Rules!$B$10</x:f>
        <x:v>11</x:v>
      </x:c>
      <x:c r="T28" s="16" t="n">
        <x:f aca="0">S28+(N28-1)*Rules!$B$8</x:f>
        <x:v>47</x:v>
      </x:c>
      <x:c r="U28" s="8"/>
      <x:c r="V28" s="9" t="s">
        <x:v>274</x:v>
      </x:c>
      <x:c r="W28" s="8" t="s">
        <x:v>217</x:v>
      </x:c>
      <x:c r="X28" s="15" t="n">
        <x:v>24</x:v>
      </x:c>
      <x:c r="Y28" s="15" t="s">
        <x:v>275</x:v>
      </x:c>
    </x:row>
    <x:row r="29" ht="76" hidden="0" customHeight="1">
      <x:c r="A29" s="16" t="s">
        <x:v>104</x:v>
      </x:c>
      <x:c r="B29" s="16" t="s">
        <x:v>211</x:v>
      </x:c>
      <x:c r="C29" s="8" t="s">
        <x:v>276</x:v>
      </x:c>
      <x:c r="D29" s="16" t="n">
        <x:v>1</x:v>
      </x:c>
      <x:c r="E29" s="8" t="s">
        <x:v>277</x:v>
      </x:c>
      <x:c r="F29" s="9" t="str">
        <x:v>Below 30% HP: defense +{v}%.</x:v>
      </x:c>
      <x:c r="G29" s="8" t="s">
        <x:v>200</x:v>
      </x:c>
      <x:c r="H29" s="8"/>
      <x:c r="I29" s="8"/>
      <x:c r="J29" s="8"/>
      <x:c r="K29" s="8" t="n">
        <x:v>10</x:v>
      </x:c>
      <x:c r="L29" s="8" t="n">
        <x:v>3</x:v>
      </x:c>
      <x:c r="M29" s="8" t="s">
        <x:v>82</x:v>
      </x:c>
      <x:c r="N29" s="14" t="n">
        <x:f aca="0">Rules!$B$5</x:f>
        <x:v>10</x:v>
      </x:c>
      <x:c r="O29" s="16" t="n">
        <x:f aca="0">K29+L29*(N29-1)</x:f>
        <x:v>37</x:v>
      </x:c>
      <x:c r="P29" s="16" t="str">
        <x:f aca="0">IF(H29="","",H29+IF(J29="",0,J29)*(N29-1))</x:f>
      </x:c>
      <x:c r="Q29" s="9" t="str">
        <x:v>Defense bonus starts below 40% HP.</x:v>
      </x:c>
      <x:c r="R29" s="9" t="str">
        <x:v>Planned, not active: Taunts everything within 6 m when it triggers (60 s cooldown).</x:v>
      </x:c>
      <x:c r="S29" s="16" t="n">
        <x:f aca="0">INDEX(Rules!$B$11:$B$15,MATCH("Row unlock: "&amp;B29,Rules!$A$11:$A$15,0))+(D29-1)*Rules!$B$10</x:f>
        <x:v>10</x:v>
      </x:c>
      <x:c r="T29" s="16" t="n">
        <x:f aca="0">S29+(N29-1)*Rules!$B$8</x:f>
        <x:v>46</x:v>
      </x:c>
      <x:c r="U29" s="8"/>
      <x:c r="V29" s="9" t="str">
        <x:v>Reviewed against current handler. Base effect live. Only rank text without Planned is active.</x:v>
      </x:c>
      <x:c r="W29" s="8" t="s">
        <x:v>169</x:v>
      </x:c>
      <x:c r="X29" s="15" t="n">
        <x:v>25</x:v>
      </x:c>
      <x:c r="Y29" s="15" t="s">
        <x:v>278</x:v>
      </x:c>
    </x:row>
    <x:row r="30" ht="15" hidden="0" customHeight="1">
      <x:c r="A30" s="16" t="s">
        <x:v>104</x:v>
      </x:c>
      <x:c r="B30" s="16" t="s">
        <x:v>211</x:v>
      </x:c>
      <x:c r="C30" s="8" t="s">
        <x:v>276</x:v>
      </x:c>
      <x:c r="D30" s="16" t="n">
        <x:v>2</x:v>
      </x:c>
      <x:c r="E30" s="8" t="s">
        <x:v>279</x:v>
      </x:c>
      <x:c r="F30" s="9" t="str">
        <x:v>{v}% chance to ignore knockdown, stun and freeze.</x:v>
      </x:c>
      <x:c r="G30" s="8" t="s">
        <x:v>200</x:v>
      </x:c>
      <x:c r="H30" s="8"/>
      <x:c r="I30" s="8"/>
      <x:c r="J30" s="8"/>
      <x:c r="K30" s="8" t="n">
        <x:v>10</x:v>
      </x:c>
      <x:c r="L30" s="8" t="n">
        <x:v>4</x:v>
      </x:c>
      <x:c r="M30" s="8" t="s">
        <x:v>280</x:v>
      </x:c>
      <x:c r="N30" s="14" t="n">
        <x:f aca="0">Rules!$B$5</x:f>
        <x:v>10</x:v>
      </x:c>
      <x:c r="O30" s="16" t="n">
        <x:f aca="0">K30+L30*(N30-1)</x:f>
        <x:v>46</x:v>
      </x:c>
      <x:c r="P30" s="16" t="str">
        <x:f aca="0">IF(H30="","",H30+IF(J30="",0,J30)*(N30-1))</x:f>
      </x:c>
      <x:c r="Q30" s="9" t="s">
        <x:v>281</x:v>
      </x:c>
      <x:c r="R30" s="9" t="s">
        <x:v>282</x:v>
      </x:c>
      <x:c r="S30" s="16" t="n">
        <x:f aca="0">INDEX(Rules!$B$11:$B$15,MATCH("Row unlock: "&amp;B30,Rules!$A$11:$A$15,0))+(D30-1)*Rules!$B$10</x:f>
        <x:v>15</x:v>
      </x:c>
      <x:c r="T30" s="16" t="n">
        <x:f aca="0">S30+(N30-1)*Rules!$B$8</x:f>
        <x:v>51</x:v>
      </x:c>
      <x:c r="U30" s="8"/>
      <x:c r="V30" s="9" t="s">
        <x:v>283</x:v>
      </x:c>
      <x:c r="W30" s="8" t="s">
        <x:v>217</x:v>
      </x:c>
      <x:c r="X30" s="15" t="n">
        <x:v>26</x:v>
      </x:c>
      <x:c r="Y30" s="15" t="s">
        <x:v>284</x:v>
      </x:c>
    </x:row>
    <x:row r="31" ht="23.25" hidden="0" customHeight="1">
      <x:c r="A31" s="16" t="s">
        <x:v>104</x:v>
      </x:c>
      <x:c r="B31" s="16" t="s">
        <x:v>211</x:v>
      </x:c>
      <x:c r="C31" s="8" t="s">
        <x:v>276</x:v>
      </x:c>
      <x:c r="D31" s="16" t="n">
        <x:v>3</x:v>
      </x:c>
      <x:c r="E31" s="8" t="s">
        <x:v>285</x:v>
      </x:c>
      <x:c r="F31" s="9" t="str">
        <x:v>Regenerates {v}% max HP every 2 s out of combat (half in combat).</x:v>
      </x:c>
      <x:c r="G31" s="8" t="s">
        <x:v>200</x:v>
      </x:c>
      <x:c r="H31" s="8"/>
      <x:c r="I31" s="8"/>
      <x:c r="J31" s="8"/>
      <x:c r="K31" s="8" t="n">
        <x:v>1</x:v>
      </x:c>
      <x:c r="L31" s="8" t="n">
        <x:v>0.3</x:v>
      </x:c>
      <x:c r="M31" s="8" t="s">
        <x:v>201</x:v>
      </x:c>
      <x:c r="N31" s="14" t="n">
        <x:f aca="0">Rules!$B$5</x:f>
        <x:v>10</x:v>
      </x:c>
      <x:c r="O31" s="16" t="n">
        <x:f aca="0">K31+L31*(N31-1)</x:f>
        <x:v>3.6999999999999997</x:v>
      </x:c>
      <x:c r="P31" s="16" t="str">
        <x:f aca="0">IF(H31="","",H31+IF(J31="",0,J31)*(N31-1))</x:f>
      </x:c>
      <x:c r="Q31" s="9" t="s">
        <x:v>286</x:v>
      </x:c>
      <x:c r="R31" s="9" t="s">
        <x:v>287</x:v>
      </x:c>
      <x:c r="S31" s="16" t="n">
        <x:f aca="0">INDEX(Rules!$B$11:$B$15,MATCH("Row unlock: "&amp;B31,Rules!$A$11:$A$15,0))+(D31-1)*Rules!$B$10</x:f>
        <x:v>20</x:v>
      </x:c>
      <x:c r="T31" s="16" t="n">
        <x:f aca="0">S31+(N31-1)*Rules!$B$8</x:f>
        <x:v>56</x:v>
      </x:c>
      <x:c r="U31" s="8"/>
      <x:c r="V31" s="9"/>
      <x:c r="W31" s="8" t="s">
        <x:v>217</x:v>
      </x:c>
      <x:c r="X31" s="15" t="n">
        <x:v>27</x:v>
      </x:c>
      <x:c r="Y31" s="15" t="s">
        <x:v>288</x:v>
      </x:c>
    </x:row>
    <x:row r="32" ht="23.25" hidden="0" customHeight="1">
      <x:c r="A32" s="16" t="s">
        <x:v>104</x:v>
      </x:c>
      <x:c r="B32" s="16" t="s">
        <x:v>225</x:v>
      </x:c>
      <x:c r="C32" s="8" t="s">
        <x:v>289</x:v>
      </x:c>
      <x:c r="D32" s="16" t="n">
        <x:v>1</x:v>
      </x:c>
      <x:c r="E32" s="8" t="s">
        <x:v>290</x:v>
      </x:c>
      <x:c r="F32" s="9" t="str">
        <x:v>When the owner is hit, {v}% chance the bear taunts that monster.</x:v>
      </x:c>
      <x:c r="G32" s="8" t="s">
        <x:v>200</x:v>
      </x:c>
      <x:c r="H32" s="8"/>
      <x:c r="I32" s="8"/>
      <x:c r="J32" s="8"/>
      <x:c r="K32" s="8" t="n">
        <x:v>20</x:v>
      </x:c>
      <x:c r="L32" s="8" t="n">
        <x:v>6</x:v>
      </x:c>
      <x:c r="M32" s="8" t="s">
        <x:v>280</x:v>
      </x:c>
      <x:c r="N32" s="14" t="n">
        <x:f aca="0">Rules!$B$5</x:f>
        <x:v>10</x:v>
      </x:c>
      <x:c r="O32" s="16" t="n">
        <x:f aca="0">K32+L32*(N32-1)</x:f>
        <x:v>74</x:v>
      </x:c>
      <x:c r="P32" s="16" t="str">
        <x:f aca="0">IF(H32="","",H32+IF(J32="",0,J32)*(N32-1))</x:f>
      </x:c>
      <x:c r="Q32" s="9" t="s">
        <x:v>291</x:v>
      </x:c>
      <x:c r="R32" s="9" t="s">
        <x:v>292</x:v>
      </x:c>
      <x:c r="S32" s="16" t="n">
        <x:f aca="0">INDEX(Rules!$B$11:$B$15,MATCH("Row unlock: "&amp;B32,Rules!$A$11:$A$15,0))+(D32-1)*Rules!$B$10</x:f>
        <x:v>30</x:v>
      </x:c>
      <x:c r="T32" s="16" t="n">
        <x:f aca="0">S32+(N32-1)*Rules!$B$8</x:f>
        <x:v>66</x:v>
      </x:c>
      <x:c r="U32" s="8"/>
      <x:c r="V32" s="9" t="s">
        <x:v>293</x:v>
      </x:c>
      <x:c r="W32" s="8" t="s">
        <x:v>183</x:v>
      </x:c>
      <x:c r="X32" s="15" t="n">
        <x:v>28</x:v>
      </x:c>
      <x:c r="Y32" s="15" t="s">
        <x:v>294</x:v>
      </x:c>
    </x:row>
    <x:row r="33" ht="76" hidden="0" customHeight="1">
      <x:c r="A33" s="16" t="s">
        <x:v>104</x:v>
      </x:c>
      <x:c r="B33" s="16" t="s">
        <x:v>225</x:v>
      </x:c>
      <x:c r="C33" s="8" t="s">
        <x:v>289</x:v>
      </x:c>
      <x:c r="D33" s="16" t="n">
        <x:v>2</x:v>
      </x:c>
      <x:c r="E33" s="8" t="s">
        <x:v>295</x:v>
      </x:c>
      <x:c r="F33" s="9" t="str">
        <x:v>Every 6th attack stuns the target for {v} s.</x:v>
      </x:c>
      <x:c r="G33" s="8" t="s">
        <x:v>172</x:v>
      </x:c>
      <x:c r="H33" s="8" t="n">
        <x:v>6</x:v>
      </x:c>
      <x:c r="I33" s="8" t="s">
        <x:v>173</x:v>
      </x:c>
      <x:c r="J33" s="8" t="n">
        <x:v>0</x:v>
      </x:c>
      <x:c r="K33" s="8" t="n">
        <x:v>0.8</x:v>
      </x:c>
      <x:c r="L33" s="8" t="n">
        <x:v>0.12</x:v>
      </x:c>
      <x:c r="M33" s="8" t="s">
        <x:v>63</x:v>
      </x:c>
      <x:c r="N33" s="14" t="n">
        <x:f aca="0">Rules!$B$5</x:f>
        <x:v>10</x:v>
      </x:c>
      <x:c r="O33" s="16" t="n">
        <x:f aca="0">K33+L33*(N33-1)</x:f>
        <x:v>1.8800000000000001</x:v>
      </x:c>
      <x:c r="P33" s="16" t="n">
        <x:f aca="0">IF(H33="","",H33+IF(J33="",0,J33)*(N33-1))</x:f>
        <x:v>6</x:v>
      </x:c>
      <x:c r="Q33" s="9" t="str">
        <x:v>Every 5th attack.</x:v>
      </x:c>
      <x:c r="R33" s="9" t="str">
        <x:v>The stun also hits up to 5 targets within 3 m.</x:v>
      </x:c>
      <x:c r="S33" s="16" t="n">
        <x:f aca="0">INDEX(Rules!$B$11:$B$15,MATCH("Row unlock: "&amp;B33,Rules!$A$11:$A$15,0))+(D33-1)*Rules!$B$10</x:f>
        <x:v>35</x:v>
      </x:c>
      <x:c r="T33" s="16" t="n">
        <x:f aca="0">S33+(N33-1)*Rules!$B$8</x:f>
        <x:v>71</x:v>
      </x:c>
      <x:c r="U33" s="8" t="s">
        <x:v>174</x:v>
      </x:c>
      <x:c r="V33" s="9" t="s">
        <x:v>296</x:v>
      </x:c>
      <x:c r="W33" s="8" t="s">
        <x:v>169</x:v>
      </x:c>
      <x:c r="X33" s="15" t="n">
        <x:v>29</x:v>
      </x:c>
      <x:c r="Y33" s="15" t="s">
        <x:v>297</x:v>
      </x:c>
    </x:row>
    <x:row r="34" ht="15" hidden="0" customHeight="1">
      <x:c r="A34" s="16" t="s">
        <x:v>104</x:v>
      </x:c>
      <x:c r="B34" s="16" t="s">
        <x:v>225</x:v>
      </x:c>
      <x:c r="C34" s="8" t="s">
        <x:v>289</x:v>
      </x:c>
      <x:c r="D34" s="16" t="n">
        <x:v>3</x:v>
      </x:c>
      <x:c r="E34" s="8" t="s">
        <x:v>298</x:v>
      </x:c>
      <x:c r="F34" s="9" t="str">
        <x:v>Owner defense +{v}%.</x:v>
      </x:c>
      <x:c r="G34" s="8" t="s">
        <x:v>200</x:v>
      </x:c>
      <x:c r="H34" s="8"/>
      <x:c r="I34" s="8"/>
      <x:c r="J34" s="8"/>
      <x:c r="K34" s="8" t="n">
        <x:v>3</x:v>
      </x:c>
      <x:c r="L34" s="8" t="n">
        <x:v>1</x:v>
      </x:c>
      <x:c r="M34" s="8" t="s">
        <x:v>82</x:v>
      </x:c>
      <x:c r="N34" s="14" t="n">
        <x:f aca="0">Rules!$B$5</x:f>
        <x:v>10</x:v>
      </x:c>
      <x:c r="O34" s="16" t="n">
        <x:f aca="0">K34+L34*(N34-1)</x:f>
        <x:v>12</x:v>
      </x:c>
      <x:c r="P34" s="16" t="str">
        <x:f aca="0">IF(H34="","",H34+IF(J34="",0,J34)*(N34-1))</x:f>
      </x:c>
      <x:c r="Q34" s="9" t="s">
        <x:v>299</x:v>
      </x:c>
      <x:c r="R34" s="9" t="s">
        <x:v>300</x:v>
      </x:c>
      <x:c r="S34" s="16" t="n">
        <x:f aca="0">INDEX(Rules!$B$11:$B$15,MATCH("Row unlock: "&amp;B34,Rules!$A$11:$A$15,0))+(D34-1)*Rules!$B$10</x:f>
        <x:v>40</x:v>
      </x:c>
      <x:c r="T34" s="16" t="n">
        <x:f aca="0">S34+(N34-1)*Rules!$B$8</x:f>
        <x:v>76</x:v>
      </x:c>
      <x:c r="U34" s="8"/>
      <x:c r="V34" s="9" t="s">
        <x:v>301</x:v>
      </x:c>
      <x:c r="W34" s="8" t="s">
        <x:v>217</x:v>
      </x:c>
      <x:c r="X34" s="15" t="n">
        <x:v>30</x:v>
      </x:c>
      <x:c r="Y34" s="15" t="s">
        <x:v>302</x:v>
      </x:c>
    </x:row>
    <x:row r="35" ht="76" hidden="0" customHeight="1">
      <x:c r="A35" s="16" t="s">
        <x:v>120</x:v>
      </x:c>
      <x:c r="B35" s="16" t="s">
        <x:v>162</x:v>
      </x:c>
      <x:c r="C35" s="8" t="s">
        <x:v>303</x:v>
      </x:c>
      <x:c r="D35" s="16" t="n">
        <x:v>1</x:v>
      </x:c>
      <x:c r="E35" s="8" t="s">
        <x:v>304</x:v>
      </x:c>
      <x:c r="F35" s="9" t="str">
        <x:v>Commanded strike deals {v}% of its normal damage to up to 8 targets within 5 m and attempts frostbite. Status duration follows native resistance rules.</x:v>
      </x:c>
      <x:c r="G35" s="8" t="s">
        <x:v>165</x:v>
      </x:c>
      <x:c r="H35" s="8" t="n">
        <x:v>14</x:v>
      </x:c>
      <x:c r="I35" s="8" t="s">
        <x:v>63</x:v>
      </x:c>
      <x:c r="J35" s="8" t="n">
        <x:v>-0.4</x:v>
      </x:c>
      <x:c r="K35" s="8" t="n">
        <x:v>120</x:v>
      </x:c>
      <x:c r="L35" s="8" t="n">
        <x:v>12</x:v>
      </x:c>
      <x:c r="M35" s="8" t="s">
        <x:v>79</x:v>
      </x:c>
      <x:c r="N35" s="14" t="n">
        <x:f aca="0">Rules!$B$5</x:f>
        <x:v>10</x:v>
      </x:c>
      <x:c r="O35" s="16" t="n">
        <x:f aca="0">K35+L35*(N35-1)</x:f>
        <x:v>228</x:v>
      </x:c>
      <x:c r="P35" s="16" t="n">
        <x:f aca="0">IF(H35="","",H35+IF(J35="",0,J35)*(N35-1))</x:f>
        <x:v>10.4</x:v>
      </x:c>
      <x:c r="Q35" s="9" t="str">
        <x:v>Radius 7 m.</x:v>
      </x:c>
      <x:c r="R35" s="9" t="str">
        <x:v>Planned, not active: Frozen targets shatter for 50% extra damage.</x:v>
      </x:c>
      <x:c r="S35" s="16" t="n">
        <x:f aca="0">INDEX(Rules!$B$11:$B$15,MATCH("Row unlock: "&amp;B35,Rules!$A$11:$A$15,0))+(D35-1)*Rules!$B$10</x:f>
        <x:v>1</x:v>
      </x:c>
      <x:c r="T35" s="16" t="n">
        <x:f aca="0">S35+(N35-1)*Rules!$B$8</x:f>
        <x:v>37</x:v>
      </x:c>
      <x:c r="U35" s="8" t="s">
        <x:v>305</x:v>
      </x:c>
      <x:c r="V35" s="9" t="s">
        <x:v>306</x:v>
      </x:c>
      <x:c r="W35" s="8" t="s">
        <x:v>169</x:v>
      </x:c>
      <x:c r="X35" s="15" t="n">
        <x:v>31</x:v>
      </x:c>
      <x:c r="Y35" s="15" t="s">
        <x:v>307</x:v>
      </x:c>
    </x:row>
    <x:row r="36" ht="23.25" hidden="0" customHeight="1">
      <x:c r="A36" s="16" t="s">
        <x:v>120</x:v>
      </x:c>
      <x:c r="B36" s="16" t="s">
        <x:v>162</x:v>
      </x:c>
      <x:c r="C36" s="8" t="s">
        <x:v>303</x:v>
      </x:c>
      <x:c r="D36" s="16" t="n">
        <x:v>2</x:v>
      </x:c>
      <x:c r="E36" s="8" t="s">
        <x:v>308</x:v>
      </x:c>
      <x:c r="F36" s="9" t="str">
        <x:v>Ice storm on the target: {v}% magic damage per second for 4 s within 4 m.</x:v>
      </x:c>
      <x:c r="G36" s="8" t="s">
        <x:v>165</x:v>
      </x:c>
      <x:c r="H36" s="8" t="n">
        <x:v>20</x:v>
      </x:c>
      <x:c r="I36" s="8" t="s">
        <x:v>63</x:v>
      </x:c>
      <x:c r="J36" s="8" t="n">
        <x:v>-0.5</x:v>
      </x:c>
      <x:c r="K36" s="8" t="n">
        <x:v>45</x:v>
      </x:c>
      <x:c r="L36" s="8" t="n">
        <x:v>5</x:v>
      </x:c>
      <x:c r="M36" s="8" t="s">
        <x:v>309</x:v>
      </x:c>
      <x:c r="N36" s="14" t="n">
        <x:f aca="0">Rules!$B$5</x:f>
        <x:v>10</x:v>
      </x:c>
      <x:c r="O36" s="16" t="n">
        <x:f aca="0">K36+L36*(N36-1)</x:f>
        <x:v>90</x:v>
      </x:c>
      <x:c r="P36" s="16" t="n">
        <x:f aca="0">IF(H36="","",H36+IF(J36="",0,J36)*(N36-1))</x:f>
        <x:v>15.5</x:v>
      </x:c>
      <x:c r="Q36" s="9" t="s">
        <x:v>310</x:v>
      </x:c>
      <x:c r="R36" s="9" t="s">
        <x:v>311</x:v>
      </x:c>
      <x:c r="S36" s="16" t="n">
        <x:f aca="0">INDEX(Rules!$B$11:$B$15,MATCH("Row unlock: "&amp;B36,Rules!$A$11:$A$15,0))+(D36-1)*Rules!$B$10</x:f>
        <x:v>6</x:v>
      </x:c>
      <x:c r="T36" s="16" t="n">
        <x:f aca="0">S36+(N36-1)*Rules!$B$8</x:f>
        <x:v>42</x:v>
      </x:c>
      <x:c r="U36" s="8" t="s">
        <x:v>305</x:v>
      </x:c>
      <x:c r="V36" s="9" t="s">
        <x:v>312</x:v>
      </x:c>
      <x:c r="W36" s="8" t="s">
        <x:v>217</x:v>
      </x:c>
      <x:c r="X36" s="15" t="n">
        <x:v>32</x:v>
      </x:c>
      <x:c r="Y36" s="15" t="s">
        <x:v>313</x:v>
      </x:c>
    </x:row>
    <x:row r="37" ht="23.25" hidden="0" customHeight="1">
      <x:c r="A37" s="16" t="s">
        <x:v>120</x:v>
      </x:c>
      <x:c r="B37" s="16" t="s">
        <x:v>162</x:v>
      </x:c>
      <x:c r="C37" s="8" t="s">
        <x:v>303</x:v>
      </x:c>
      <x:c r="D37" s="16" t="n">
        <x:v>3</x:v>
      </x:c>
      <x:c r="E37" s="8" t="s">
        <x:v>314</x:v>
      </x:c>
      <x:c r="F37" s="9" t="str">
        <x:v>Slides through a 10 m line for {v}% damage, chilling everything hit.</x:v>
      </x:c>
      <x:c r="G37" s="8" t="s">
        <x:v>172</x:v>
      </x:c>
      <x:c r="H37" s="8" t="n">
        <x:v>10</x:v>
      </x:c>
      <x:c r="I37" s="8" t="s">
        <x:v>173</x:v>
      </x:c>
      <x:c r="J37" s="8" t="n">
        <x:v>-0.4</x:v>
      </x:c>
      <x:c r="K37" s="8" t="n">
        <x:v>150</x:v>
      </x:c>
      <x:c r="L37" s="8" t="n">
        <x:v>10</x:v>
      </x:c>
      <x:c r="M37" s="8" t="s">
        <x:v>79</x:v>
      </x:c>
      <x:c r="N37" s="14" t="n">
        <x:f aca="0">Rules!$B$5</x:f>
        <x:v>10</x:v>
      </x:c>
      <x:c r="O37" s="16" t="n">
        <x:f aca="0">K37+L37*(N37-1)</x:f>
        <x:v>240</x:v>
      </x:c>
      <x:c r="P37" s="16" t="n">
        <x:f aca="0">IF(H37="","",H37+IF(J37="",0,J37)*(N37-1))</x:f>
        <x:v>6.4</x:v>
      </x:c>
      <x:c r="Q37" s="9" t="s">
        <x:v>315</x:v>
      </x:c>
      <x:c r="R37" s="9" t="s">
        <x:v>316</x:v>
      </x:c>
      <x:c r="S37" s="16" t="n">
        <x:f aca="0">INDEX(Rules!$B$11:$B$15,MATCH("Row unlock: "&amp;B37,Rules!$A$11:$A$15,0))+(D37-1)*Rules!$B$10</x:f>
        <x:v>11</x:v>
      </x:c>
      <x:c r="T37" s="16" t="n">
        <x:f aca="0">S37+(N37-1)*Rules!$B$8</x:f>
        <x:v>47</x:v>
      </x:c>
      <x:c r="U37" s="8" t="s">
        <x:v>317</x:v>
      </x:c>
      <x:c r="V37" s="9" t="s">
        <x:v>318</x:v>
      </x:c>
      <x:c r="W37" s="8" t="s">
        <x:v>217</x:v>
      </x:c>
      <x:c r="X37" s="15" t="n">
        <x:v>33</x:v>
      </x:c>
      <x:c r="Y37" s="15" t="s">
        <x:v>319</x:v>
      </x:c>
    </x:row>
    <x:row r="38" ht="76" hidden="0" customHeight="1">
      <x:c r="A38" s="16" t="s">
        <x:v>120</x:v>
      </x:c>
      <x:c r="B38" s="16" t="s">
        <x:v>185</x:v>
      </x:c>
      <x:c r="C38" s="8" t="s">
        <x:v>163</x:v>
      </x:c>
      <x:c r="D38" s="16" t="n">
        <x:v>1</x:v>
      </x:c>
      <x:c r="E38" s="8" t="s">
        <x:v>320</x:v>
      </x:c>
      <x:c r="F38" s="9" t="str">
        <x:v>Commanded strike attempts native freeze with potency based on {v}. Duration and resistance depend on pet and target level; bosses have no custom slow fallback.</x:v>
      </x:c>
      <x:c r="G38" s="8" t="s">
        <x:v>165</x:v>
      </x:c>
      <x:c r="H38" s="8" t="n">
        <x:v>16</x:v>
      </x:c>
      <x:c r="I38" s="8" t="s">
        <x:v>63</x:v>
      </x:c>
      <x:c r="J38" s="8" t="n">
        <x:v>-0.4</x:v>
      </x:c>
      <x:c r="K38" s="8" t="n">
        <x:v>2</x:v>
      </x:c>
      <x:c r="L38" s="8" t="n">
        <x:v>0.2</x:v>
      </x:c>
      <x:c r="M38" s="8" t="str">
        <x:v>freeze potency</x:v>
      </x:c>
      <x:c r="N38" s="14" t="n">
        <x:f aca="0">Rules!$B$5</x:f>
        <x:v>10</x:v>
      </x:c>
      <x:c r="O38" s="16" t="n">
        <x:f aca="0">K38+L38*(N38-1)</x:f>
        <x:v>3.8</x:v>
      </x:c>
      <x:c r="P38" s="16" t="n">
        <x:f aca="0">IF(H38="","",H38+IF(J38="",0,J38)*(N38-1))</x:f>
        <x:v>12.4</x:v>
      </x:c>
      <x:c r="Q38" s="9" t="str">
        <x:v>Spreads to 2 more targets.</x:v>
      </x:c>
      <x:c r="R38" s="9" t="str">
        <x:v>Planned, not active: Frozen targets take +20% from everyone.</x:v>
      </x:c>
      <x:c r="S38" s="16" t="n">
        <x:f aca="0">INDEX(Rules!$B$11:$B$15,MATCH("Row unlock: "&amp;B38,Rules!$A$11:$A$15,0))+(D38-1)*Rules!$B$10</x:f>
        <x:v>20</x:v>
      </x:c>
      <x:c r="T38" s="16" t="n">
        <x:f aca="0">S38+(N38-1)*Rules!$B$8</x:f>
        <x:v>56</x:v>
      </x:c>
      <x:c r="U38" s="8" t="s">
        <x:v>305</x:v>
      </x:c>
      <x:c r="V38" s="9" t="s">
        <x:v>321</x:v>
      </x:c>
      <x:c r="W38" s="8" t="s">
        <x:v>169</x:v>
      </x:c>
      <x:c r="X38" s="15" t="n">
        <x:v>34</x:v>
      </x:c>
      <x:c r="Y38" s="15" t="s">
        <x:v>322</x:v>
      </x:c>
    </x:row>
    <x:row r="39" ht="23.25" hidden="0" customHeight="1">
      <x:c r="A39" s="16" t="s">
        <x:v>120</x:v>
      </x:c>
      <x:c r="B39" s="16" t="s">
        <x:v>185</x:v>
      </x:c>
      <x:c r="C39" s="8" t="s">
        <x:v>163</x:v>
      </x:c>
      <x:c r="D39" s="16" t="n">
        <x:v>2</x:v>
      </x:c>
      <x:c r="E39" s="8" t="s">
        <x:v>323</x:v>
      </x:c>
      <x:c r="F39" s="9" t="str">
        <x:v>Ice shield on the owner absorbs {v}% of the owner's max HP for 8 s.</x:v>
      </x:c>
      <x:c r="G39" s="8" t="s">
        <x:v>240</x:v>
      </x:c>
      <x:c r="H39" s="8" t="n">
        <x:v>20</x:v>
      </x:c>
      <x:c r="I39" s="8" t="s">
        <x:v>324</x:v>
      </x:c>
      <x:c r="J39" s="8" t="n">
        <x:v>-0.5</x:v>
      </x:c>
      <x:c r="K39" s="8" t="n">
        <x:v>8</x:v>
      </x:c>
      <x:c r="L39" s="8" t="n">
        <x:v>1.5</x:v>
      </x:c>
      <x:c r="M39" s="8" t="s">
        <x:v>325</x:v>
      </x:c>
      <x:c r="N39" s="14" t="n">
        <x:f aca="0">Rules!$B$5</x:f>
        <x:v>10</x:v>
      </x:c>
      <x:c r="O39" s="16" t="n">
        <x:f aca="0">K39+L39*(N39-1)</x:f>
        <x:v>21.5</x:v>
      </x:c>
      <x:c r="P39" s="16" t="n">
        <x:f aca="0">IF(H39="","",H39+IF(J39="",0,J39)*(N39-1))</x:f>
        <x:v>15.5</x:v>
      </x:c>
      <x:c r="Q39" s="9" t="s">
        <x:v>326</x:v>
      </x:c>
      <x:c r="R39" s="9" t="s">
        <x:v>327</x:v>
      </x:c>
      <x:c r="S39" s="16" t="n">
        <x:f aca="0">INDEX(Rules!$B$11:$B$15,MATCH("Row unlock: "&amp;B39,Rules!$A$11:$A$15,0))+(D39-1)*Rules!$B$10</x:f>
        <x:v>25</x:v>
      </x:c>
      <x:c r="T39" s="16" t="n">
        <x:f aca="0">S39+(N39-1)*Rules!$B$8</x:f>
        <x:v>61</x:v>
      </x:c>
      <x:c r="U39" s="8" t="s">
        <x:v>167</x:v>
      </x:c>
      <x:c r="V39" s="9" t="s">
        <x:v>328</x:v>
      </x:c>
      <x:c r="W39" s="8" t="s">
        <x:v>217</x:v>
      </x:c>
      <x:c r="X39" s="15" t="n">
        <x:v>35</x:v>
      </x:c>
      <x:c r="Y39" s="15" t="s">
        <x:v>329</x:v>
      </x:c>
    </x:row>
    <x:row r="40" ht="15" hidden="0" customHeight="1">
      <x:c r="A40" s="16" t="s">
        <x:v>120</x:v>
      </x:c>
      <x:c r="B40" s="16" t="s">
        <x:v>185</x:v>
      </x:c>
      <x:c r="C40" s="8" t="s">
        <x:v>163</x:v>
      </x:c>
      <x:c r="D40" s="16" t="n">
        <x:v>3</x:v>
      </x:c>
      <x:c r="E40" s="8" t="s">
        <x:v>330</x:v>
      </x:c>
      <x:c r="F40" s="9" t="str">
        <x:v>Restores {v}% of the owner's max MP.</x:v>
      </x:c>
      <x:c r="G40" s="8" t="s">
        <x:v>331</x:v>
      </x:c>
      <x:c r="H40" s="8" t="n">
        <x:v>15</x:v>
      </x:c>
      <x:c r="I40" s="8" t="s">
        <x:v>332</x:v>
      </x:c>
      <x:c r="J40" s="8" t="n">
        <x:v>-0.5</x:v>
      </x:c>
      <x:c r="K40" s="8" t="n">
        <x:v>5</x:v>
      </x:c>
      <x:c r="L40" s="8" t="n">
        <x:v>1</x:v>
      </x:c>
      <x:c r="M40" s="8" t="s">
        <x:v>333</x:v>
      </x:c>
      <x:c r="N40" s="14" t="n">
        <x:f aca="0">Rules!$B$5</x:f>
        <x:v>10</x:v>
      </x:c>
      <x:c r="O40" s="16" t="n">
        <x:f aca="0">K40+L40*(N40-1)</x:f>
        <x:v>14</x:v>
      </x:c>
      <x:c r="P40" s="16" t="n">
        <x:f aca="0">IF(H40="","",H40+IF(J40="",0,J40)*(N40-1))</x:f>
        <x:v>10.5</x:v>
      </x:c>
      <x:c r="Q40" s="9" t="s">
        <x:v>334</x:v>
      </x:c>
      <x:c r="R40" s="9" t="s">
        <x:v>335</x:v>
      </x:c>
      <x:c r="S40" s="16" t="n">
        <x:f aca="0">INDEX(Rules!$B$11:$B$15,MATCH("Row unlock: "&amp;B40,Rules!$A$11:$A$15,0))+(D40-1)*Rules!$B$10</x:f>
        <x:v>30</x:v>
      </x:c>
      <x:c r="T40" s="16" t="n">
        <x:f aca="0">S40+(N40-1)*Rules!$B$8</x:f>
        <x:v>66</x:v>
      </x:c>
      <x:c r="U40" s="8" t="s">
        <x:v>167</x:v>
      </x:c>
      <x:c r="V40" s="9"/>
      <x:c r="W40" s="8" t="s">
        <x:v>217</x:v>
      </x:c>
      <x:c r="X40" s="15" t="n">
        <x:v>36</x:v>
      </x:c>
      <x:c r="Y40" s="15" t="s">
        <x:v>336</x:v>
      </x:c>
    </x:row>
    <x:row r="41" ht="76" hidden="0" customHeight="1">
      <x:c r="A41" s="16" t="s">
        <x:v>120</x:v>
      </x:c>
      <x:c r="B41" s="16" t="s">
        <x:v>197</x:v>
      </x:c>
      <x:c r="C41" s="8" t="s">
        <x:v>337</x:v>
      </x:c>
      <x:c r="D41" s="16" t="n">
        <x:v>1</x:v>
      </x:c>
      <x:c r="E41" s="8" t="s">
        <x:v>338</x:v>
      </x:c>
      <x:c r="F41" s="9" t="str">
        <x:v>+{v}% magic attack.</x:v>
      </x:c>
      <x:c r="G41" s="8" t="s">
        <x:v>200</x:v>
      </x:c>
      <x:c r="H41" s="8"/>
      <x:c r="I41" s="8"/>
      <x:c r="J41" s="8"/>
      <x:c r="K41" s="8" t="n">
        <x:v>3</x:v>
      </x:c>
      <x:c r="L41" s="8" t="n">
        <x:v>3</x:v>
      </x:c>
      <x:c r="M41" s="8" t="s">
        <x:v>208</x:v>
      </x:c>
      <x:c r="N41" s="14" t="n">
        <x:f aca="0">Rules!$B$5</x:f>
        <x:v>10</x:v>
      </x:c>
      <x:c r="O41" s="16" t="n">
        <x:f aca="0">K41+L41*(N41-1)</x:f>
        <x:v>30</x:v>
      </x:c>
      <x:c r="P41" s="16" t="str">
        <x:f aca="0">IF(H41="","",H41+IF(J41="",0,J41)*(N41-1))</x:f>
      </x:c>
      <x:c r="Q41" s="9" t="str">
        <x:v>Planned, not active: Spells ignore 10% of magic defense.</x:v>
      </x:c>
      <x:c r="R41" s="9" t="str">
        <x:v>Planned, not active: +5% magic attack to the owner.</x:v>
      </x:c>
      <x:c r="S41" s="16" t="n">
        <x:f aca="0">INDEX(Rules!$B$11:$B$15,MATCH("Row unlock: "&amp;B41,Rules!$A$11:$A$15,0))+(D41-1)*Rules!$B$10</x:f>
        <x:v>1</x:v>
      </x:c>
      <x:c r="T41" s="16" t="n">
        <x:f aca="0">S41+(N41-1)*Rules!$B$8</x:f>
        <x:v>37</x:v>
      </x:c>
      <x:c r="U41" s="8"/>
      <x:c r="V41" s="9" t="str">
        <x:v>Reviewed against current handler. Base effect live. Only rank text without Planned is active.</x:v>
      </x:c>
      <x:c r="W41" s="8" t="s">
        <x:v>169</x:v>
      </x:c>
      <x:c r="X41" s="15" t="n">
        <x:v>37</x:v>
      </x:c>
      <x:c r="Y41" s="15" t="s">
        <x:v>339</x:v>
      </x:c>
    </x:row>
    <x:row r="42" ht="76" hidden="0" customHeight="1">
      <x:c r="A42" s="16" t="s">
        <x:v>120</x:v>
      </x:c>
      <x:c r="B42" s="16" t="s">
        <x:v>197</x:v>
      </x:c>
      <x:c r="C42" s="8" t="s">
        <x:v>337</x:v>
      </x:c>
      <x:c r="D42" s="16" t="n">
        <x:v>2</x:v>
      </x:c>
      <x:c r="E42" s="8" t="s">
        <x:v>340</x:v>
      </x:c>
      <x:c r="F42" s="9" t="str">
        <x:v>+{v}% damage to frozen or frostbitten targets.</x:v>
      </x:c>
      <x:c r="G42" s="8" t="s">
        <x:v>200</x:v>
      </x:c>
      <x:c r="H42" s="8"/>
      <x:c r="I42" s="8"/>
      <x:c r="J42" s="8"/>
      <x:c r="K42" s="8" t="n">
        <x:v>10</x:v>
      </x:c>
      <x:c r="L42" s="8" t="n">
        <x:v>4</x:v>
      </x:c>
      <x:c r="M42" s="8" t="s">
        <x:v>79</x:v>
      </x:c>
      <x:c r="N42" s="14" t="n">
        <x:f aca="0">Rules!$B$5</x:f>
        <x:v>10</x:v>
      </x:c>
      <x:c r="O42" s="16" t="n">
        <x:f aca="0">K42+L42*(N42-1)</x:f>
        <x:v>46</x:v>
      </x:c>
      <x:c r="P42" s="16" t="str">
        <x:f aca="0">IF(H42="","",H42+IF(J42="",0,J42)*(N42-1))</x:f>
      </x:c>
      <x:c r="Q42" s="9" t="str">
        <x:v>Planned, not active: Applies to the owner's hits too.</x:v>
      </x:c>
      <x:c r="R42" s="9" t="str">
        <x:v>Planned, not active: Killing a frozen target freezes a neighbour.</x:v>
      </x:c>
      <x:c r="S42" s="16" t="n">
        <x:f aca="0">INDEX(Rules!$B$11:$B$15,MATCH("Row unlock: "&amp;B42,Rules!$A$11:$A$15,0))+(D42-1)*Rules!$B$10</x:f>
        <x:v>6</x:v>
      </x:c>
      <x:c r="T42" s="16" t="n">
        <x:f aca="0">S42+(N42-1)*Rules!$B$8</x:f>
        <x:v>42</x:v>
      </x:c>
      <x:c r="U42" s="8"/>
      <x:c r="V42" s="9" t="s">
        <x:v>209</x:v>
      </x:c>
      <x:c r="W42" s="8" t="s">
        <x:v>169</x:v>
      </x:c>
      <x:c r="X42" s="15" t="n">
        <x:v>38</x:v>
      </x:c>
      <x:c r="Y42" s="15" t="s">
        <x:v>341</x:v>
      </x:c>
    </x:row>
    <x:row r="43" ht="76" hidden="0" customHeight="1">
      <x:c r="A43" s="16" t="s">
        <x:v>120</x:v>
      </x:c>
      <x:c r="B43" s="16" t="s">
        <x:v>197</x:v>
      </x:c>
      <x:c r="C43" s="8" t="s">
        <x:v>337</x:v>
      </x:c>
      <x:c r="D43" s="16" t="n">
        <x:v>3</x:v>
      </x:c>
      <x:c r="E43" s="8" t="s">
        <x:v>342</x:v>
      </x:c>
      <x:c r="F43" s="9" t="str">
        <x:v>{v}% chance on hit to frostbite the target.</x:v>
      </x:c>
      <x:c r="G43" s="8" t="s">
        <x:v>200</x:v>
      </x:c>
      <x:c r="H43" s="8"/>
      <x:c r="I43" s="8"/>
      <x:c r="J43" s="8"/>
      <x:c r="K43" s="8" t="n">
        <x:v>6</x:v>
      </x:c>
      <x:c r="L43" s="8" t="n">
        <x:v>2</x:v>
      </x:c>
      <x:c r="M43" s="8" t="s">
        <x:v>280</x:v>
      </x:c>
      <x:c r="N43" s="14" t="n">
        <x:f aca="0">Rules!$B$5</x:f>
        <x:v>10</x:v>
      </x:c>
      <x:c r="O43" s="16" t="n">
        <x:f aca="0">K43+L43*(N43-1)</x:f>
        <x:v>24</x:v>
      </x:c>
      <x:c r="P43" s="16" t="str">
        <x:f aca="0">IF(H43="","",H43+IF(J43="",0,J43)*(N43-1))</x:f>
      </x:c>
      <x:c r="Q43" s="9" t="str">
        <x:v>Planned, not active: Frostbite lasts 2 s longer.</x:v>
      </x:c>
      <x:c r="R43" s="9" t="str">
        <x:v>Planned, not active: Frostbitten targets attack 20% slower.</x:v>
      </x:c>
      <x:c r="S43" s="16" t="n">
        <x:f aca="0">INDEX(Rules!$B$11:$B$15,MATCH("Row unlock: "&amp;B43,Rules!$A$11:$A$15,0))+(D43-1)*Rules!$B$10</x:f>
        <x:v>11</x:v>
      </x:c>
      <x:c r="T43" s="16" t="n">
        <x:f aca="0">S43+(N43-1)*Rules!$B$8</x:f>
        <x:v>47</x:v>
      </x:c>
      <x:c r="U43" s="8"/>
      <x:c r="V43" s="9" t="s">
        <x:v>343</x:v>
      </x:c>
      <x:c r="W43" s="8" t="s">
        <x:v>169</x:v>
      </x:c>
      <x:c r="X43" s="15" t="n">
        <x:v>39</x:v>
      </x:c>
      <x:c r="Y43" s="15" t="s">
        <x:v>344</x:v>
      </x:c>
    </x:row>
    <x:row r="44" ht="76" hidden="0" customHeight="1">
      <x:c r="A44" s="16" t="s">
        <x:v>120</x:v>
      </x:c>
      <x:c r="B44" s="16" t="s">
        <x:v>211</x:v>
      </x:c>
      <x:c r="C44" s="8" t="s">
        <x:v>345</x:v>
      </x:c>
      <x:c r="D44" s="16" t="n">
        <x:v>1</x:v>
      </x:c>
      <x:c r="E44" s="8" t="s">
        <x:v>346</x:v>
      </x:c>
      <x:c r="F44" s="9" t="str">
        <x:v>{v}% chance per attack to spread that strike to up to 3 targets within 8 m, with 20% damage reduction and an electric-shock attempt. No separate lightning spell is cast.</x:v>
      </x:c>
      <x:c r="G44" s="8" t="s">
        <x:v>200</x:v>
      </x:c>
      <x:c r="H44" s="8"/>
      <x:c r="I44" s="8"/>
      <x:c r="J44" s="8"/>
      <x:c r="K44" s="8" t="n">
        <x:v>4</x:v>
      </x:c>
      <x:c r="L44" s="8" t="n">
        <x:v>1</x:v>
      </x:c>
      <x:c r="M44" s="8" t="s">
        <x:v>280</x:v>
      </x:c>
      <x:c r="N44" s="14" t="n">
        <x:f aca="0">Rules!$B$5</x:f>
        <x:v>10</x:v>
      </x:c>
      <x:c r="O44" s="16" t="n">
        <x:f aca="0">K44+L44*(N44-1)</x:f>
        <x:v>13</x:v>
      </x:c>
      <x:c r="P44" s="16" t="str">
        <x:f aca="0">IF(H44="","",H44+IF(J44="",0,J44)*(N44-1))</x:f>
      </x:c>
      <x:c r="Q44" s="9" t="str">
        <x:v>Chain Lightning bounces 2 more times.</x:v>
      </x:c>
      <x:c r="R44" s="9" t="str">
        <x:v>Planned, not active: Also triggers when the penguin is struck.</x:v>
      </x:c>
      <x:c r="S44" s="16" t="n">
        <x:f aca="0">INDEX(Rules!$B$11:$B$15,MATCH("Row unlock: "&amp;B44,Rules!$A$11:$A$15,0))+(D44-1)*Rules!$B$10</x:f>
        <x:v>10</x:v>
      </x:c>
      <x:c r="T44" s="16" t="n">
        <x:f aca="0">S44+(N44-1)*Rules!$B$8</x:f>
        <x:v>46</x:v>
      </x:c>
      <x:c r="U44" s="8"/>
      <x:c r="V44" s="9" t="s">
        <x:v>347</x:v>
      </x:c>
      <x:c r="W44" s="8" t="s">
        <x:v>169</x:v>
      </x:c>
      <x:c r="X44" s="15" t="n">
        <x:v>40</x:v>
      </x:c>
      <x:c r="Y44" s="15" t="s">
        <x:v>348</x:v>
      </x:c>
    </x:row>
    <x:row r="45" ht="76" hidden="0" customHeight="1">
      <x:c r="A45" s="16" t="s">
        <x:v>120</x:v>
      </x:c>
      <x:c r="B45" s="16" t="s">
        <x:v>211</x:v>
      </x:c>
      <x:c r="C45" s="8" t="s">
        <x:v>345</x:v>
      </x:c>
      <x:c r="D45" s="16" t="n">
        <x:v>2</x:v>
      </x:c>
      <x:c r="E45" s="8" t="s">
        <x:v>349</x:v>
      </x:c>
      <x:c r="F45" s="9" t="str">
        <x:v>Every 5th damaging attack gains {v}% bonus damage. This strengthens one strike; it does not cast a second spell.</x:v>
      </x:c>
      <x:c r="G45" s="8" t="s">
        <x:v>350</x:v>
      </x:c>
      <x:c r="H45" s="8" t="n">
        <x:v>5</x:v>
      </x:c>
      <x:c r="I45" s="8" t="s">
        <x:v>351</x:v>
      </x:c>
      <x:c r="J45" s="8" t="n">
        <x:v>0</x:v>
      </x:c>
      <x:c r="K45" s="8" t="n">
        <x:v>30</x:v>
      </x:c>
      <x:c r="L45" s="8" t="n">
        <x:v>5</x:v>
      </x:c>
      <x:c r="M45" s="8" t="s">
        <x:v>352</x:v>
      </x:c>
      <x:c r="N45" s="14" t="n">
        <x:f aca="0">Rules!$B$5</x:f>
        <x:v>10</x:v>
      </x:c>
      <x:c r="O45" s="16" t="n">
        <x:f aca="0">K45+L45*(N45-1)</x:f>
        <x:v>75</x:v>
      </x:c>
      <x:c r="P45" s="16" t="n">
        <x:f aca="0">IF(H45="","",H45+IF(J45="",0,J45)*(N45-1))</x:f>
        <x:v>5</x:v>
      </x:c>
      <x:c r="Q45" s="9" t="str">
        <x:v>Every 4th spell.</x:v>
      </x:c>
      <x:c r="R45" s="9" t="str">
        <x:v>Planned, not active: The echo is free of cooldown sharing.</x:v>
      </x:c>
      <x:c r="S45" s="16" t="n">
        <x:f aca="0">INDEX(Rules!$B$11:$B$15,MATCH("Row unlock: "&amp;B45,Rules!$A$11:$A$15,0))+(D45-1)*Rules!$B$10</x:f>
        <x:v>15</x:v>
      </x:c>
      <x:c r="T45" s="16" t="n">
        <x:f aca="0">S45+(N45-1)*Rules!$B$8</x:f>
        <x:v>51</x:v>
      </x:c>
      <x:c r="U45" s="8" t="s">
        <x:v>305</x:v>
      </x:c>
      <x:c r="V45" s="9" t="s">
        <x:v>353</x:v>
      </x:c>
      <x:c r="W45" s="8" t="s">
        <x:v>169</x:v>
      </x:c>
      <x:c r="X45" s="15" t="n">
        <x:v>41</x:v>
      </x:c>
      <x:c r="Y45" s="15" t="s">
        <x:v>354</x:v>
      </x:c>
    </x:row>
    <x:row r="46" ht="76" hidden="0" customHeight="1">
      <x:c r="A46" s="16" t="s">
        <x:v>120</x:v>
      </x:c>
      <x:c r="B46" s="16" t="s">
        <x:v>211</x:v>
      </x:c>
      <x:c r="C46" s="8" t="s">
        <x:v>345</x:v>
      </x:c>
      <x:c r="D46" s="16" t="n">
        <x:v>3</x:v>
      </x:c>
      <x:c r="E46" s="8" t="s">
        <x:v>355</x:v>
      </x:c>
      <x:c r="F46" s="9" t="str">
        <x:v>Reduces active-row timer durations and required event counts by {v}%, combined with gear up to 60%.</x:v>
      </x:c>
      <x:c r="G46" s="8" t="s">
        <x:v>200</x:v>
      </x:c>
      <x:c r="H46" s="8"/>
      <x:c r="I46" s="8"/>
      <x:c r="J46" s="8"/>
      <x:c r="K46" s="8" t="n">
        <x:v>2</x:v>
      </x:c>
      <x:c r="L46" s="8" t="n">
        <x:v>1</x:v>
      </x:c>
      <x:c r="M46" s="8" t="s">
        <x:v>85</x:v>
      </x:c>
      <x:c r="N46" s="14" t="n">
        <x:f aca="0">Rules!$B$5</x:f>
        <x:v>10</x:v>
      </x:c>
      <x:c r="O46" s="16" t="n">
        <x:f aca="0">K46+L46*(N46-1)</x:f>
        <x:v>11</x:v>
      </x:c>
      <x:c r="P46" s="16" t="str">
        <x:f aca="0">IF(H46="","",H46+IF(J46="",0,J46)*(N46-1))</x:f>
      </x:c>
      <x:c r="Q46" s="9" t="str">
        <x:v>Planned, not active: Counter cooldowns need 1 fewer.</x:v>
      </x:c>
      <x:c r="R46" s="9" t="str">
        <x:v>Planned, not active: Owner skill cooldowns -5%.</x:v>
      </x:c>
      <x:c r="S46" s="16" t="n">
        <x:f aca="0">INDEX(Rules!$B$11:$B$15,MATCH("Row unlock: "&amp;B46,Rules!$A$11:$A$15,0))+(D46-1)*Rules!$B$10</x:f>
        <x:v>20</x:v>
      </x:c>
      <x:c r="T46" s="16" t="n">
        <x:f aca="0">S46+(N46-1)*Rules!$B$8</x:f>
        <x:v>56</x:v>
      </x:c>
      <x:c r="U46" s="8"/>
      <x:c r="V46" s="9" t="s">
        <x:v>209</x:v>
      </x:c>
      <x:c r="W46" s="8" t="s">
        <x:v>169</x:v>
      </x:c>
      <x:c r="X46" s="15" t="n">
        <x:v>42</x:v>
      </x:c>
      <x:c r="Y46" s="15" t="s">
        <x:v>356</x:v>
      </x:c>
    </x:row>
    <x:row r="47" ht="76" hidden="0" customHeight="1">
      <x:c r="A47" s="16" t="s">
        <x:v>120</x:v>
      </x:c>
      <x:c r="B47" s="16" t="s">
        <x:v>225</x:v>
      </x:c>
      <x:c r="C47" s="8" t="s">
        <x:v>357</x:v>
      </x:c>
      <x:c r="D47" s="16" t="n">
        <x:v>1</x:v>
      </x:c>
      <x:c r="E47" s="8" t="s">
        <x:v>358</x:v>
      </x:c>
      <x:c r="F47" s="9" t="str">
        <x:v>+{v}% physical and magical defense while slotted. Does not chill attackers.</x:v>
      </x:c>
      <x:c r="G47" s="8" t="s">
        <x:v>200</x:v>
      </x:c>
      <x:c r="H47" s="8"/>
      <x:c r="I47" s="8"/>
      <x:c r="J47" s="8"/>
      <x:c r="K47" s="8" t="n">
        <x:v>3</x:v>
      </x:c>
      <x:c r="L47" s="8" t="n">
        <x:v>2</x:v>
      </x:c>
      <x:c r="M47" s="8" t="s">
        <x:v>82</x:v>
      </x:c>
      <x:c r="N47" s="14" t="n">
        <x:f aca="0">Rules!$B$5</x:f>
        <x:v>10</x:v>
      </x:c>
      <x:c r="O47" s="16" t="n">
        <x:f aca="0">K47+L47*(N47-1)</x:f>
        <x:v>21</x:v>
      </x:c>
      <x:c r="P47" s="16" t="str">
        <x:f aca="0">IF(H47="","",H47+IF(J47="",0,J47)*(N47-1))</x:f>
      </x:c>
      <x:c r="Q47" s="9" t="str">
        <x:v>Planned, not active: Chill becomes frostbite.</x:v>
      </x:c>
      <x:c r="R47" s="9" t="str">
        <x:v>Planned, not active: Also on the owner.</x:v>
      </x:c>
      <x:c r="S47" s="16" t="n">
        <x:f aca="0">INDEX(Rules!$B$11:$B$15,MATCH("Row unlock: "&amp;B47,Rules!$A$11:$A$15,0))+(D47-1)*Rules!$B$10</x:f>
        <x:v>30</x:v>
      </x:c>
      <x:c r="T47" s="16" t="n">
        <x:f aca="0">S47+(N47-1)*Rules!$B$8</x:f>
        <x:v>66</x:v>
      </x:c>
      <x:c r="U47" s="8"/>
      <x:c r="V47" s="9" t="s">
        <x:v>359</x:v>
      </x:c>
      <x:c r="W47" s="8" t="s">
        <x:v>169</x:v>
      </x:c>
      <x:c r="X47" s="15" t="n">
        <x:v>43</x:v>
      </x:c>
      <x:c r="Y47" s="15" t="s">
        <x:v>360</x:v>
      </x:c>
    </x:row>
    <x:row r="48" ht="23.25" hidden="0" customHeight="1">
      <x:c r="A48" s="16" t="s">
        <x:v>120</x:v>
      </x:c>
      <x:c r="B48" s="16" t="s">
        <x:v>225</x:v>
      </x:c>
      <x:c r="C48" s="8" t="s">
        <x:v>357</x:v>
      </x:c>
      <x:c r="D48" s="16" t="n">
        <x:v>2</x:v>
      </x:c>
      <x:c r="E48" s="8" t="s">
        <x:v>361</x:v>
      </x:c>
      <x:c r="F48" s="9" t="str">
        <x:v>{v}% of damage the penguin takes drains the owner's MP instead.</x:v>
      </x:c>
      <x:c r="G48" s="8" t="s">
        <x:v>200</x:v>
      </x:c>
      <x:c r="H48" s="8"/>
      <x:c r="I48" s="8"/>
      <x:c r="J48" s="8"/>
      <x:c r="K48" s="8" t="n">
        <x:v>10</x:v>
      </x:c>
      <x:c r="L48" s="8" t="n">
        <x:v>3</x:v>
      </x:c>
      <x:c r="M48" s="8" t="s">
        <x:v>79</x:v>
      </x:c>
      <x:c r="N48" s="14" t="n">
        <x:f aca="0">Rules!$B$5</x:f>
        <x:v>10</x:v>
      </x:c>
      <x:c r="O48" s="16" t="n">
        <x:f aca="0">K48+L48*(N48-1)</x:f>
        <x:v>37</x:v>
      </x:c>
      <x:c r="P48" s="16" t="str">
        <x:f aca="0">IF(H48="","",H48+IF(J48="",0,J48)*(N48-1))</x:f>
      </x:c>
      <x:c r="Q48" s="9" t="s">
        <x:v>362</x:v>
      </x:c>
      <x:c r="R48" s="9" t="s">
        <x:v>363</x:v>
      </x:c>
      <x:c r="S48" s="16" t="n">
        <x:f aca="0">INDEX(Rules!$B$11:$B$15,MATCH("Row unlock: "&amp;B48,Rules!$A$11:$A$15,0))+(D48-1)*Rules!$B$10</x:f>
        <x:v>35</x:v>
      </x:c>
      <x:c r="T48" s="16" t="n">
        <x:f aca="0">S48+(N48-1)*Rules!$B$8</x:f>
        <x:v>71</x:v>
      </x:c>
      <x:c r="U48" s="8"/>
      <x:c r="V48" s="9"/>
      <x:c r="W48" s="8" t="s">
        <x:v>217</x:v>
      </x:c>
      <x:c r="X48" s="15" t="n">
        <x:v>44</x:v>
      </x:c>
      <x:c r="Y48" s="15" t="s">
        <x:v>364</x:v>
      </x:c>
    </x:row>
    <x:row r="49" ht="15" hidden="0" customHeight="1">
      <x:c r="A49" s="16" t="s">
        <x:v>120</x:v>
      </x:c>
      <x:c r="B49" s="16" t="s">
        <x:v>225</x:v>
      </x:c>
      <x:c r="C49" s="8" t="s">
        <x:v>357</x:v>
      </x:c>
      <x:c r="D49" s="16" t="n">
        <x:v>3</x:v>
      </x:c>
      <x:c r="E49" s="8" t="s">
        <x:v>365</x:v>
      </x:c>
      <x:c r="F49" s="9" t="str">
        <x:v>Owner and penguin +{v}% status resistance.</x:v>
      </x:c>
      <x:c r="G49" s="8" t="s">
        <x:v>200</x:v>
      </x:c>
      <x:c r="H49" s="8"/>
      <x:c r="I49" s="8"/>
      <x:c r="J49" s="8"/>
      <x:c r="K49" s="8" t="n">
        <x:v>4</x:v>
      </x:c>
      <x:c r="L49" s="8" t="n">
        <x:v>2</x:v>
      </x:c>
      <x:c r="M49" s="8" t="s">
        <x:v>366</x:v>
      </x:c>
      <x:c r="N49" s="14" t="n">
        <x:f aca="0">Rules!$B$5</x:f>
        <x:v>10</x:v>
      </x:c>
      <x:c r="O49" s="16" t="n">
        <x:f aca="0">K49+L49*(N49-1)</x:f>
        <x:v>22</x:v>
      </x:c>
      <x:c r="P49" s="16" t="str">
        <x:f aca="0">IF(H49="","",H49+IF(J49="",0,J49)*(N49-1))</x:f>
      </x:c>
      <x:c r="Q49" s="9" t="s">
        <x:v>367</x:v>
      </x:c>
      <x:c r="R49" s="9" t="s">
        <x:v>300</x:v>
      </x:c>
      <x:c r="S49" s="16" t="n">
        <x:f aca="0">INDEX(Rules!$B$11:$B$15,MATCH("Row unlock: "&amp;B49,Rules!$A$11:$A$15,0))+(D49-1)*Rules!$B$10</x:f>
        <x:v>40</x:v>
      </x:c>
      <x:c r="T49" s="16" t="n">
        <x:f aca="0">S49+(N49-1)*Rules!$B$8</x:f>
        <x:v>76</x:v>
      </x:c>
      <x:c r="U49" s="8"/>
      <x:c r="V49" s="9" t="s">
        <x:v>368</x:v>
      </x:c>
      <x:c r="W49" s="8" t="s">
        <x:v>217</x:v>
      </x:c>
      <x:c r="X49" s="15" t="n">
        <x:v>45</x:v>
      </x:c>
      <x:c r="Y49" s="15" t="s">
        <x:v>369</x:v>
      </x:c>
    </x:row>
    <x:row r="50" ht="76" hidden="0" customHeight="1">
      <x:c r="A50" s="10" t="s">
        <x:v>128</x:v>
      </x:c>
      <x:c r="B50" s="10" t="s">
        <x:v>162</x:v>
      </x:c>
      <x:c r="C50" s="8" t="s">
        <x:v>370</x:v>
      </x:c>
      <x:c r="D50" s="10" t="n">
        <x:v>1</x:v>
      </x:c>
      <x:c r="E50" s="8" t="s">
        <x:v>371</x:v>
      </x:c>
      <x:c r="F50" s="9" t="str">
        <x:v>On command, heals the owner for {v}% of maximum HP.</x:v>
      </x:c>
      <x:c r="G50" s="8" t="s">
        <x:v>165</x:v>
      </x:c>
      <x:c r="H50" s="8" t="n">
        <x:v>20</x:v>
      </x:c>
      <x:c r="I50" s="8" t="s">
        <x:v>63</x:v>
      </x:c>
      <x:c r="J50" s="8" t="n">
        <x:v>-0.5</x:v>
      </x:c>
      <x:c r="K50" s="8" t="n">
        <x:v>8</x:v>
      </x:c>
      <x:c r="L50" s="8" t="n">
        <x:v>1.2</x:v>
      </x:c>
      <x:c r="M50" s="8" t="s">
        <x:v>201</x:v>
      </x:c>
      <x:c r="N50" s="14" t="n">
        <x:f aca="0">Rules!$B$5</x:f>
        <x:v>10</x:v>
      </x:c>
      <x:c r="O50" s="10" t="n">
        <x:f aca="0">K50+L50*(N50-1)</x:f>
        <x:v>18.799999999999997</x:v>
      </x:c>
      <x:c r="P50" s="10" t="n">
        <x:f aca="0">IF(H50="","",H50+IF(J50="",0,J50)*(N50-1))</x:f>
        <x:v>15.5</x:v>
      </x:c>
      <x:c r="Q50" s="9" t="str">
        <x:v>Heals another 50% of the base amount immediately, not over time.</x:v>
      </x:c>
      <x:c r="R50" s="9" t="str">
        <x:v>Planned, not active: Heals the lowest-HP party member within 15 m instead when lower.</x:v>
      </x:c>
      <x:c r="S50" s="10" t="n">
        <x:f aca="0">INDEX(Rules!$B$11:$B$15,MATCH("Row unlock: "&amp;B50,Rules!$A$11:$A$15,0))+(D50-1)*Rules!$B$10</x:f>
        <x:v>1</x:v>
      </x:c>
      <x:c r="T50" s="10" t="n">
        <x:f aca="0">S50+(N50-1)*Rules!$B$8</x:f>
        <x:v>37</x:v>
      </x:c>
      <x:c r="U50" s="8" t="s">
        <x:v>167</x:v>
      </x:c>
      <x:c r="V50" s="9" t="str">
        <x:v>Reviewed against current handler. Base effect live. Only rank text without Planned is active.</x:v>
      </x:c>
      <x:c r="W50" s="8" t="s">
        <x:v>169</x:v>
      </x:c>
      <x:c r="X50" s="15" t="n">
        <x:v>46</x:v>
      </x:c>
      <x:c r="Y50" s="15" t="s">
        <x:v>372</x:v>
      </x:c>
    </x:row>
    <x:row r="51" ht="15" hidden="0" customHeight="1">
      <x:c r="A51" s="10" t="s">
        <x:v>128</x:v>
      </x:c>
      <x:c r="B51" s="10" t="s">
        <x:v>162</x:v>
      </x:c>
      <x:c r="C51" s="8" t="s">
        <x:v>370</x:v>
      </x:c>
      <x:c r="D51" s="10" t="n">
        <x:v>2</x:v>
      </x:c>
      <x:c r="E51" s="8" t="s">
        <x:v>373</x:v>
      </x:c>
      <x:c r="F51" s="9" t="str">
        <x:v>Removes {v} harmful status(es) from the owner.</x:v>
      </x:c>
      <x:c r="G51" s="8" t="s">
        <x:v>240</x:v>
      </x:c>
      <x:c r="H51" s="8" t="n">
        <x:v>20</x:v>
      </x:c>
      <x:c r="I51" s="8" t="s">
        <x:v>324</x:v>
      </x:c>
      <x:c r="J51" s="8" t="n">
        <x:v>-0.5</x:v>
      </x:c>
      <x:c r="K51" s="8" t="n">
        <x:v>1</x:v>
      </x:c>
      <x:c r="L51" s="8" t="n">
        <x:v>0.2</x:v>
      </x:c>
      <x:c r="M51" s="8" t="s">
        <x:v>374</x:v>
      </x:c>
      <x:c r="N51" s="14" t="n">
        <x:f aca="0">Rules!$B$5</x:f>
        <x:v>10</x:v>
      </x:c>
      <x:c r="O51" s="10" t="n">
        <x:f aca="0">K51+L51*(N51-1)</x:f>
        <x:v>2.8</x:v>
      </x:c>
      <x:c r="P51" s="10" t="n">
        <x:f aca="0">IF(H51="","",H51+IF(J51="",0,J51)*(N51-1))</x:f>
        <x:v>15.5</x:v>
      </x:c>
      <x:c r="Q51" s="9" t="s">
        <x:v>375</x:v>
      </x:c>
      <x:c r="R51" s="9" t="s">
        <x:v>376</x:v>
      </x:c>
      <x:c r="S51" s="10" t="n">
        <x:f aca="0">INDEX(Rules!$B$11:$B$15,MATCH("Row unlock: "&amp;B51,Rules!$A$11:$A$15,0))+(D51-1)*Rules!$B$10</x:f>
        <x:v>6</x:v>
      </x:c>
      <x:c r="T51" s="10" t="n">
        <x:f aca="0">S51+(N51-1)*Rules!$B$8</x:f>
        <x:v>42</x:v>
      </x:c>
      <x:c r="U51" s="8" t="s">
        <x:v>167</x:v>
      </x:c>
      <x:c r="V51" s="9" t="s">
        <x:v>377</x:v>
      </x:c>
      <x:c r="W51" s="8" t="s">
        <x:v>217</x:v>
      </x:c>
      <x:c r="X51" s="15" t="n">
        <x:v>47</x:v>
      </x:c>
      <x:c r="Y51" s="15" t="s">
        <x:v>378</x:v>
      </x:c>
    </x:row>
    <x:row r="52" ht="15" hidden="0" customHeight="1">
      <x:c r="A52" s="10" t="s">
        <x:v>128</x:v>
      </x:c>
      <x:c r="B52" s="10" t="s">
        <x:v>162</x:v>
      </x:c>
      <x:c r="C52" s="8" t="s">
        <x:v>370</x:v>
      </x:c>
      <x:c r="D52" s="10" t="n">
        <x:v>3</x:v>
      </x:c>
      <x:c r="E52" s="8" t="s">
        <x:v>379</x:v>
      </x:c>
      <x:c r="F52" s="9" t="str">
        <x:v>Owner and crow +{v}% damage for 10 s.</x:v>
      </x:c>
      <x:c r="G52" s="8" t="s">
        <x:v>165</x:v>
      </x:c>
      <x:c r="H52" s="8" t="n">
        <x:v>35</x:v>
      </x:c>
      <x:c r="I52" s="8" t="s">
        <x:v>63</x:v>
      </x:c>
      <x:c r="J52" s="8" t="n">
        <x:v>-0.8</x:v>
      </x:c>
      <x:c r="K52" s="8" t="n">
        <x:v>8</x:v>
      </x:c>
      <x:c r="L52" s="8" t="n">
        <x:v>1.5</x:v>
      </x:c>
      <x:c r="M52" s="8" t="s">
        <x:v>79</x:v>
      </x:c>
      <x:c r="N52" s="14" t="n">
        <x:f aca="0">Rules!$B$5</x:f>
        <x:v>10</x:v>
      </x:c>
      <x:c r="O52" s="10" t="n">
        <x:f aca="0">K52+L52*(N52-1)</x:f>
        <x:v>21.5</x:v>
      </x:c>
      <x:c r="P52" s="10" t="n">
        <x:f aca="0">IF(H52="","",H52+IF(J52="",0,J52)*(N52-1))</x:f>
        <x:v>27.8</x:v>
      </x:c>
      <x:c r="Q52" s="9" t="s">
        <x:v>380</x:v>
      </x:c>
      <x:c r="R52" s="9" t="s">
        <x:v>381</x:v>
      </x:c>
      <x:c r="S52" s="10" t="n">
        <x:f aca="0">INDEX(Rules!$B$11:$B$15,MATCH("Row unlock: "&amp;B52,Rules!$A$11:$A$15,0))+(D52-1)*Rules!$B$10</x:f>
        <x:v>11</x:v>
      </x:c>
      <x:c r="T52" s="10" t="n">
        <x:f aca="0">S52+(N52-1)*Rules!$B$8</x:f>
        <x:v>47</x:v>
      </x:c>
      <x:c r="U52" s="8" t="s">
        <x:v>167</x:v>
      </x:c>
      <x:c r="V52" s="9" t="s">
        <x:v>382</x:v>
      </x:c>
      <x:c r="W52" s="8" t="s">
        <x:v>217</x:v>
      </x:c>
      <x:c r="X52" s="15" t="n">
        <x:v>48</x:v>
      </x:c>
      <x:c r="Y52" s="15" t="s">
        <x:v>383</x:v>
      </x:c>
    </x:row>
    <x:row r="53" ht="76" hidden="0" customHeight="1">
      <x:c r="A53" s="10" t="s">
        <x:v>128</x:v>
      </x:c>
      <x:c r="B53" s="10" t="s">
        <x:v>185</x:v>
      </x:c>
      <x:c r="C53" s="8" t="s">
        <x:v>384</x:v>
      </x:c>
      <x:c r="D53" s="10" t="n">
        <x:v>1</x:v>
      </x:c>
      <x:c r="E53" s="8" t="s">
        <x:v>385</x:v>
      </x:c>
      <x:c r="F53" s="9" t="str">
        <x:v>Commanded strike attempts to reduce target physical and magical defense by {v}% for 8 s. This is not a fixed damage amplification.</x:v>
      </x:c>
      <x:c r="G53" s="8" t="s">
        <x:v>172</x:v>
      </x:c>
      <x:c r="H53" s="8" t="n">
        <x:v>12</x:v>
      </x:c>
      <x:c r="I53" s="8" t="s">
        <x:v>173</x:v>
      </x:c>
      <x:c r="J53" s="8" t="n">
        <x:v>-0.5</x:v>
      </x:c>
      <x:c r="K53" s="8" t="n">
        <x:v>8</x:v>
      </x:c>
      <x:c r="L53" s="8" t="n">
        <x:v>1.5</x:v>
      </x:c>
      <x:c r="M53" s="8" t="s">
        <x:v>79</x:v>
      </x:c>
      <x:c r="N53" s="14" t="n">
        <x:f aca="0">Rules!$B$5</x:f>
        <x:v>10</x:v>
      </x:c>
      <x:c r="O53" s="10" t="n">
        <x:f aca="0">K53+L53*(N53-1)</x:f>
        <x:v>21.5</x:v>
      </x:c>
      <x:c r="P53" s="10" t="n">
        <x:f aca="0">IF(H53="","",H53+IF(J53="",0,J53)*(N53-1))</x:f>
        <x:v>7.5</x:v>
      </x:c>
      <x:c r="Q53" s="9" t="str">
        <x:v>Adds 20 percentage points to the defense reduction.</x:v>
      </x:c>
      <x:c r="R53" s="9" t="str">
        <x:v>Planned, not active: Killing the marked target resets this row.</x:v>
      </x:c>
      <x:c r="S53" s="10" t="n">
        <x:f aca="0">INDEX(Rules!$B$11:$B$15,MATCH("Row unlock: "&amp;B53,Rules!$A$11:$A$15,0))+(D53-1)*Rules!$B$10</x:f>
        <x:v>20</x:v>
      </x:c>
      <x:c r="T53" s="10" t="n">
        <x:f aca="0">S53+(N53-1)*Rules!$B$8</x:f>
        <x:v>56</x:v>
      </x:c>
      <x:c r="U53" s="8" t="s">
        <x:v>174</x:v>
      </x:c>
      <x:c r="V53" s="9" t="s">
        <x:v>386</x:v>
      </x:c>
      <x:c r="W53" s="8" t="s">
        <x:v>169</x:v>
      </x:c>
      <x:c r="X53" s="15" t="n">
        <x:v>49</x:v>
      </x:c>
      <x:c r="Y53" s="15" t="s">
        <x:v>387</x:v>
      </x:c>
    </x:row>
    <x:row r="54" ht="76" hidden="0" customHeight="1">
      <x:c r="A54" s="10" t="s">
        <x:v>128</x:v>
      </x:c>
      <x:c r="B54" s="10" t="s">
        <x:v>185</x:v>
      </x:c>
      <x:c r="C54" s="8" t="s">
        <x:v>384</x:v>
      </x:c>
      <x:c r="D54" s="10" t="n">
        <x:v>2</x:v>
      </x:c>
      <x:c r="E54" s="8" t="s">
        <x:v>388</x:v>
      </x:c>
      <x:c r="F54" s="9" t="str">
        <x:v>Commanded strike attempts Myopia for 5 s, reducing target attack range by {v}%. Does not directly add a miss chance.</x:v>
      </x:c>
      <x:c r="G54" s="8" t="s">
        <x:v>165</x:v>
      </x:c>
      <x:c r="H54" s="8" t="n">
        <x:v>15</x:v>
      </x:c>
      <x:c r="I54" s="8" t="s">
        <x:v>63</x:v>
      </x:c>
      <x:c r="J54" s="8" t="n">
        <x:v>-0.4</x:v>
      </x:c>
      <x:c r="K54" s="8" t="n">
        <x:v>20</x:v>
      </x:c>
      <x:c r="L54" s="8" t="n">
        <x:v>3</x:v>
      </x:c>
      <x:c r="M54" s="8" t="s">
        <x:v>389</x:v>
      </x:c>
      <x:c r="N54" s="14" t="n">
        <x:f aca="0">Rules!$B$5</x:f>
        <x:v>10</x:v>
      </x:c>
      <x:c r="O54" s="10" t="n">
        <x:f aca="0">K54+L54*(N54-1)</x:f>
        <x:v>47</x:v>
      </x:c>
      <x:c r="P54" s="10" t="n">
        <x:f aca="0">IF(H54="","",H54+IF(J54="",0,J54)*(N54-1))</x:f>
        <x:v>11.4</x:v>
      </x:c>
      <x:c r="Q54" s="9" t="str">
        <x:v>Spreads to 2 more targets.</x:v>
      </x:c>
      <x:c r="R54" s="9" t="str">
        <x:v>Planned, not active: Blinded targets cannot use skills.</x:v>
      </x:c>
      <x:c r="S54" s="10" t="n">
        <x:f aca="0">INDEX(Rules!$B$11:$B$15,MATCH("Row unlock: "&amp;B54,Rules!$A$11:$A$15,0))+(D54-1)*Rules!$B$10</x:f>
        <x:v>25</x:v>
      </x:c>
      <x:c r="T54" s="10" t="n">
        <x:f aca="0">S54+(N54-1)*Rules!$B$8</x:f>
        <x:v>61</x:v>
      </x:c>
      <x:c r="U54" s="8" t="s">
        <x:v>174</x:v>
      </x:c>
      <x:c r="V54" s="9" t="s">
        <x:v>390</x:v>
      </x:c>
      <x:c r="W54" s="8" t="s">
        <x:v>169</x:v>
      </x:c>
      <x:c r="X54" s="15" t="n">
        <x:v>50</x:v>
      </x:c>
      <x:c r="Y54" s="15" t="s">
        <x:v>391</x:v>
      </x:c>
    </x:row>
    <x:row r="55" ht="15" hidden="0" customHeight="1">
      <x:c r="A55" s="10" t="s">
        <x:v>128</x:v>
      </x:c>
      <x:c r="B55" s="10" t="s">
        <x:v>185</x:v>
      </x:c>
      <x:c r="C55" s="8" t="s">
        <x:v>384</x:v>
      </x:c>
      <x:c r="D55" s="10" t="n">
        <x:v>3</x:v>
      </x:c>
      <x:c r="E55" s="8" t="s">
        <x:v>392</x:v>
      </x:c>
      <x:c r="F55" s="9" t="str">
        <x:v>On a kill, {v}% chance of an extra gold heap.</x:v>
      </x:c>
      <x:c r="G55" s="8" t="s">
        <x:v>178</x:v>
      </x:c>
      <x:c r="H55" s="8" t="n">
        <x:v>3</x:v>
      </x:c>
      <x:c r="I55" s="8" t="s">
        <x:v>179</x:v>
      </x:c>
      <x:c r="J55" s="8" t="n">
        <x:v>-0.1</x:v>
      </x:c>
      <x:c r="K55" s="8" t="n">
        <x:v>15</x:v>
      </x:c>
      <x:c r="L55" s="8" t="n">
        <x:v>3</x:v>
      </x:c>
      <x:c r="M55" s="8" t="s">
        <x:v>280</x:v>
      </x:c>
      <x:c r="N55" s="14" t="n">
        <x:f aca="0">Rules!$B$5</x:f>
        <x:v>10</x:v>
      </x:c>
      <x:c r="O55" s="10" t="n">
        <x:f aca="0">K55+L55*(N55-1)</x:f>
        <x:v>42</x:v>
      </x:c>
      <x:c r="P55" s="10" t="n">
        <x:f aca="0">IF(H55="","",H55+IF(J55="",0,J55)*(N55-1))</x:f>
        <x:v>2.1</x:v>
      </x:c>
      <x:c r="Q55" s="9" t="s">
        <x:v>393</x:v>
      </x:c>
      <x:c r="R55" s="9" t="s">
        <x:v>394</x:v>
      </x:c>
      <x:c r="S55" s="10" t="n">
        <x:f aca="0">INDEX(Rules!$B$11:$B$15,MATCH("Row unlock: "&amp;B55,Rules!$A$11:$A$15,0))+(D55-1)*Rules!$B$10</x:f>
        <x:v>30</x:v>
      </x:c>
      <x:c r="T55" s="10" t="n">
        <x:f aca="0">S55+(N55-1)*Rules!$B$8</x:f>
        <x:v>66</x:v>
      </x:c>
      <x:c r="U55" s="8" t="s">
        <x:v>174</x:v>
      </x:c>
      <x:c r="V55" s="9" t="s">
        <x:v>395</x:v>
      </x:c>
      <x:c r="W55" s="8" t="s">
        <x:v>217</x:v>
      </x:c>
      <x:c r="X55" s="15" t="n">
        <x:v>51</x:v>
      </x:c>
      <x:c r="Y55" s="15" t="s">
        <x:v>396</x:v>
      </x:c>
    </x:row>
    <x:row r="56" ht="15" hidden="0" customHeight="1">
      <x:c r="A56" s="10" t="s">
        <x:v>128</x:v>
      </x:c>
      <x:c r="B56" s="10" t="s">
        <x:v>197</x:v>
      </x:c>
      <x:c r="C56" s="8" t="s">
        <x:v>397</x:v>
      </x:c>
      <x:c r="D56" s="10" t="n">
        <x:v>1</x:v>
      </x:c>
      <x:c r="E56" s="8" t="s">
        <x:v>398</x:v>
      </x:c>
      <x:c r="F56" s="9" t="str">
        <x:v>Owner +{v}% hit rate.</x:v>
      </x:c>
      <x:c r="G56" s="8" t="s">
        <x:v>200</x:v>
      </x:c>
      <x:c r="H56" s="8"/>
      <x:c r="I56" s="8"/>
      <x:c r="J56" s="8"/>
      <x:c r="K56" s="8" t="n">
        <x:v>3</x:v>
      </x:c>
      <x:c r="L56" s="8" t="n">
        <x:v>1.5</x:v>
      </x:c>
      <x:c r="M56" s="8" t="s">
        <x:v>399</x:v>
      </x:c>
      <x:c r="N56" s="14" t="n">
        <x:f aca="0">Rules!$B$5</x:f>
        <x:v>10</x:v>
      </x:c>
      <x:c r="O56" s="10" t="n">
        <x:f aca="0">K56+L56*(N56-1)</x:f>
        <x:v>16.5</x:v>
      </x:c>
      <x:c r="P56" s="10" t="str">
        <x:f aca="0">IF(H56="","",H56+IF(J56="",0,J56)*(N56-1))</x:f>
      </x:c>
      <x:c r="Q56" s="9" t="s">
        <x:v>400</x:v>
      </x:c>
      <x:c r="R56" s="9" t="s">
        <x:v>401</x:v>
      </x:c>
      <x:c r="S56" s="10" t="n">
        <x:f aca="0">INDEX(Rules!$B$11:$B$15,MATCH("Row unlock: "&amp;B56,Rules!$A$11:$A$15,0))+(D56-1)*Rules!$B$10</x:f>
        <x:v>1</x:v>
      </x:c>
      <x:c r="T56" s="10" t="n">
        <x:f aca="0">S56+(N56-1)*Rules!$B$8</x:f>
        <x:v>37</x:v>
      </x:c>
      <x:c r="U56" s="8"/>
      <x:c r="V56" s="9"/>
      <x:c r="W56" s="8" t="s">
        <x:v>217</x:v>
      </x:c>
      <x:c r="X56" s="15" t="n">
        <x:v>52</x:v>
      </x:c>
      <x:c r="Y56" s="15" t="s">
        <x:v>402</x:v>
      </x:c>
    </x:row>
    <x:row r="57" ht="76" hidden="0" customHeight="1">
      <x:c r="A57" s="10" t="s">
        <x:v>128</x:v>
      </x:c>
      <x:c r="B57" s="10" t="s">
        <x:v>197</x:v>
      </x:c>
      <x:c r="C57" s="8" t="s">
        <x:v>397</x:v>
      </x:c>
      <x:c r="D57" s="10" t="n">
        <x:v>2</x:v>
      </x:c>
      <x:c r="E57" s="8" t="s">
        <x:v>403</x:v>
      </x:c>
      <x:c r="F57" s="9" t="str">
        <x:v>When this pet deals the killing hit, heals the owner for {v}% of maximum HP.</x:v>
      </x:c>
      <x:c r="G57" s="8" t="s">
        <x:v>200</x:v>
      </x:c>
      <x:c r="H57" s="8"/>
      <x:c r="I57" s="8"/>
      <x:c r="J57" s="8"/>
      <x:c r="K57" s="8" t="n">
        <x:v>1</x:v>
      </x:c>
      <x:c r="L57" s="8" t="n">
        <x:v>0.4</x:v>
      </x:c>
      <x:c r="M57" s="8" t="s">
        <x:v>201</x:v>
      </x:c>
      <x:c r="N57" s="14" t="n">
        <x:f aca="0">Rules!$B$5</x:f>
        <x:v>10</x:v>
      </x:c>
      <x:c r="O57" s="10" t="n">
        <x:f aca="0">K57+L57*(N57-1)</x:f>
        <x:v>4.6</x:v>
      </x:c>
      <x:c r="P57" s="10" t="str">
        <x:f aca="0">IF(H57="","",H57+IF(J57="",0,J57)*(N57-1))</x:f>
      </x:c>
      <x:c r="Q57" s="9" t="str">
        <x:v>Planned, not active: Also restores MP.</x:v>
      </x:c>
      <x:c r="R57" s="9" t="str">
        <x:v>Planned, not active: Party within 15 m.</x:v>
      </x:c>
      <x:c r="S57" s="10" t="n">
        <x:f aca="0">INDEX(Rules!$B$11:$B$15,MATCH("Row unlock: "&amp;B57,Rules!$A$11:$A$15,0))+(D57-1)*Rules!$B$10</x:f>
        <x:v>6</x:v>
      </x:c>
      <x:c r="T57" s="10" t="n">
        <x:f aca="0">S57+(N57-1)*Rules!$B$8</x:f>
        <x:v>42</x:v>
      </x:c>
      <x:c r="U57" s="8"/>
      <x:c r="V57" s="9" t="s">
        <x:v>209</x:v>
      </x:c>
      <x:c r="W57" s="8" t="s">
        <x:v>169</x:v>
      </x:c>
      <x:c r="X57" s="15" t="n">
        <x:v>53</x:v>
      </x:c>
      <x:c r="Y57" s="15" t="s">
        <x:v>404</x:v>
      </x:c>
    </x:row>
    <x:row r="58" ht="15" hidden="0" customHeight="1">
      <x:c r="A58" s="10" t="s">
        <x:v>128</x:v>
      </x:c>
      <x:c r="B58" s="10" t="s">
        <x:v>197</x:v>
      </x:c>
      <x:c r="C58" s="8" t="s">
        <x:v>397</x:v>
      </x:c>
      <x:c r="D58" s="10" t="n">
        <x:v>3</x:v>
      </x:c>
      <x:c r="E58" s="8" t="s">
        <x:v>405</x:v>
      </x:c>
      <x:c r="F58" s="9" t="str">
        <x:v>Owner damage taken -{v}%.</x:v>
      </x:c>
      <x:c r="G58" s="8" t="s">
        <x:v>200</x:v>
      </x:c>
      <x:c r="H58" s="8"/>
      <x:c r="I58" s="8"/>
      <x:c r="J58" s="8"/>
      <x:c r="K58" s="8" t="n">
        <x:v>1</x:v>
      </x:c>
      <x:c r="L58" s="8" t="n">
        <x:v>0.6</x:v>
      </x:c>
      <x:c r="M58" s="8" t="s">
        <x:v>255</x:v>
      </x:c>
      <x:c r="N58" s="14" t="n">
        <x:f aca="0">Rules!$B$5</x:f>
        <x:v>10</x:v>
      </x:c>
      <x:c r="O58" s="10" t="n">
        <x:f aca="0">K58+L58*(N58-1)</x:f>
        <x:v>6.3999999999999995</x:v>
      </x:c>
      <x:c r="P58" s="10" t="str">
        <x:f aca="0">IF(H58="","",H58+IF(J58="",0,J58)*(N58-1))</x:f>
      </x:c>
      <x:c r="Q58" s="9" t="s">
        <x:v>406</x:v>
      </x:c>
      <x:c r="R58" s="9" t="s">
        <x:v>380</x:v>
      </x:c>
      <x:c r="S58" s="10" t="n">
        <x:f aca="0">INDEX(Rules!$B$11:$B$15,MATCH("Row unlock: "&amp;B58,Rules!$A$11:$A$15,0))+(D58-1)*Rules!$B$10</x:f>
        <x:v>11</x:v>
      </x:c>
      <x:c r="T58" s="10" t="n">
        <x:f aca="0">S58+(N58-1)*Rules!$B$8</x:f>
        <x:v>47</x:v>
      </x:c>
      <x:c r="U58" s="8"/>
      <x:c r="V58" s="9"/>
      <x:c r="W58" s="8" t="s">
        <x:v>217</x:v>
      </x:c>
      <x:c r="X58" s="15" t="n">
        <x:v>54</x:v>
      </x:c>
      <x:c r="Y58" s="15" t="s">
        <x:v>407</x:v>
      </x:c>
    </x:row>
    <x:row r="59" ht="15" hidden="0" customHeight="1">
      <x:c r="A59" s="10" t="s">
        <x:v>128</x:v>
      </x:c>
      <x:c r="B59" s="10" t="s">
        <x:v>211</x:v>
      </x:c>
      <x:c r="C59" s="8" t="s">
        <x:v>408</x:v>
      </x:c>
      <x:c r="D59" s="10" t="n">
        <x:v>1</x:v>
      </x:c>
      <x:c r="E59" s="8" t="s">
        <x:v>409</x:v>
      </x:c>
      <x:c r="F59" s="9" t="str">
        <x:v>Owner movement speed +{v}%.</x:v>
      </x:c>
      <x:c r="G59" s="8" t="s">
        <x:v>200</x:v>
      </x:c>
      <x:c r="H59" s="8"/>
      <x:c r="I59" s="8"/>
      <x:c r="J59" s="8"/>
      <x:c r="K59" s="8" t="n">
        <x:v>3</x:v>
      </x:c>
      <x:c r="L59" s="8" t="n">
        <x:v>0.8</x:v>
      </x:c>
      <x:c r="M59" s="8" t="s">
        <x:v>191</x:v>
      </x:c>
      <x:c r="N59" s="14" t="n">
        <x:f aca="0">Rules!$B$5</x:f>
        <x:v>10</x:v>
      </x:c>
      <x:c r="O59" s="10" t="n">
        <x:f aca="0">K59+L59*(N59-1)</x:f>
        <x:v>10.2</x:v>
      </x:c>
      <x:c r="P59" s="10" t="str">
        <x:f aca="0">IF(H59="","",H59+IF(J59="",0,J59)*(N59-1))</x:f>
      </x:c>
      <x:c r="Q59" s="9" t="s">
        <x:v>410</x:v>
      </x:c>
      <x:c r="R59" s="9" t="s">
        <x:v>300</x:v>
      </x:c>
      <x:c r="S59" s="10" t="n">
        <x:f aca="0">INDEX(Rules!$B$11:$B$15,MATCH("Row unlock: "&amp;B59,Rules!$A$11:$A$15,0))+(D59-1)*Rules!$B$10</x:f>
        <x:v>10</x:v>
      </x:c>
      <x:c r="T59" s="10" t="n">
        <x:f aca="0">S59+(N59-1)*Rules!$B$8</x:f>
        <x:v>46</x:v>
      </x:c>
      <x:c r="U59" s="8"/>
      <x:c r="V59" s="9" t="s">
        <x:v>411</x:v>
      </x:c>
      <x:c r="W59" s="8" t="s">
        <x:v>217</x:v>
      </x:c>
      <x:c r="X59" s="15" t="n">
        <x:v>55</x:v>
      </x:c>
      <x:c r="Y59" s="15" t="s">
        <x:v>412</x:v>
      </x:c>
    </x:row>
    <x:row r="60" ht="76" hidden="0" customHeight="1">
      <x:c r="A60" s="10" t="s">
        <x:v>128</x:v>
      </x:c>
      <x:c r="B60" s="10" t="s">
        <x:v>211</x:v>
      </x:c>
      <x:c r="C60" s="8" t="s">
        <x:v>408</x:v>
      </x:c>
      <x:c r="D60" s="10" t="n">
        <x:v>2</x:v>
      </x:c>
      <x:c r="E60" s="8" t="s">
        <x:v>413</x:v>
      </x:c>
      <x:c r="F60" s="9" t="str">
        <x:v>+{v}% crow attack speed while slotted. Movement speed is unchanged.</x:v>
      </x:c>
      <x:c r="G60" s="8" t="s">
        <x:v>200</x:v>
      </x:c>
      <x:c r="H60" s="8"/>
      <x:c r="I60" s="8"/>
      <x:c r="J60" s="8"/>
      <x:c r="K60" s="8" t="n">
        <x:v>4</x:v>
      </x:c>
      <x:c r="L60" s="8" t="n">
        <x:v>1.5</x:v>
      </x:c>
      <x:c r="M60" s="8" t="s">
        <x:v>191</x:v>
      </x:c>
      <x:c r="N60" s="14" t="n">
        <x:f aca="0">Rules!$B$5</x:f>
        <x:v>10</x:v>
      </x:c>
      <x:c r="O60" s="10" t="n">
        <x:f aca="0">K60+L60*(N60-1)</x:f>
        <x:v>17.5</x:v>
      </x:c>
      <x:c r="P60" s="10" t="str">
        <x:f aca="0">IF(H60="","",H60+IF(J60="",0,J60)*(N60-1))</x:f>
      </x:c>
      <x:c r="Q60" s="9" t="str">
        <x:v>Planned, not active: Active skills cast 20% faster.</x:v>
      </x:c>
      <x:c r="R60" s="9" t="str">
        <x:v>Planned, not active: Every 5th peck hits twice.</x:v>
      </x:c>
      <x:c r="S60" s="10" t="n">
        <x:f aca="0">INDEX(Rules!$B$11:$B$15,MATCH("Row unlock: "&amp;B60,Rules!$A$11:$A$15,0))+(D60-1)*Rules!$B$10</x:f>
        <x:v>15</x:v>
      </x:c>
      <x:c r="T60" s="10" t="n">
        <x:f aca="0">S60+(N60-1)*Rules!$B$8</x:f>
        <x:v>51</x:v>
      </x:c>
      <x:c r="U60" s="8"/>
      <x:c r="V60" s="9" t="s">
        <x:v>223</x:v>
      </x:c>
      <x:c r="W60" s="8" t="s">
        <x:v>169</x:v>
      </x:c>
      <x:c r="X60" s="15" t="n">
        <x:v>56</x:v>
      </x:c>
      <x:c r="Y60" s="15" t="s">
        <x:v>414</x:v>
      </x:c>
    </x:row>
    <x:row r="61" ht="76" hidden="0" customHeight="1">
      <x:c r="A61" s="10" t="s">
        <x:v>128</x:v>
      </x:c>
      <x:c r="B61" s="10" t="s">
        <x:v>211</x:v>
      </x:c>
      <x:c r="C61" s="8" t="s">
        <x:v>408</x:v>
      </x:c>
      <x:c r="D61" s="10" t="n">
        <x:v>3</x:v>
      </x:c>
      <x:c r="E61" s="8" t="s">
        <x:v>415</x:v>
      </x:c>
      <x:c r="F61" s="9" t="str">
        <x:v>Increases the relative magic/rare roll weights of pet equipment by {v}% while the crow is summoned. Does not increase the number of drops.</x:v>
      </x:c>
      <x:c r="G61" s="8" t="s">
        <x:v>200</x:v>
      </x:c>
      <x:c r="H61" s="8"/>
      <x:c r="I61" s="8"/>
      <x:c r="J61" s="8"/>
      <x:c r="K61" s="8" t="n">
        <x:v>3</x:v>
      </x:c>
      <x:c r="L61" s="8" t="n">
        <x:v>1.5</x:v>
      </x:c>
      <x:c r="M61" s="8" t="s">
        <x:v>280</x:v>
      </x:c>
      <x:c r="N61" s="14" t="n">
        <x:f aca="0">Rules!$B$5</x:f>
        <x:v>10</x:v>
      </x:c>
      <x:c r="O61" s="10" t="n">
        <x:f aca="0">K61+L61*(N61-1)</x:f>
        <x:v>16.5</x:v>
      </x:c>
      <x:c r="P61" s="10" t="str">
        <x:f aca="0">IF(H61="","",H61+IF(J61="",0,J61)*(N61-1))</x:f>
      </x:c>
      <x:c r="Q61" s="9" t="str">
        <x:v>Planned, not active: +1 degree tier chance on rares.</x:v>
      </x:c>
      <x:c r="R61" s="9" t="str">
        <x:v>Planned, not active: Party members' kills count too.</x:v>
      </x:c>
      <x:c r="S61" s="10" t="n">
        <x:f aca="0">INDEX(Rules!$B$11:$B$15,MATCH("Row unlock: "&amp;B61,Rules!$A$11:$A$15,0))+(D61-1)*Rules!$B$10</x:f>
        <x:v>20</x:v>
      </x:c>
      <x:c r="T61" s="10" t="n">
        <x:f aca="0">S61+(N61-1)*Rules!$B$8</x:f>
        <x:v>56</x:v>
      </x:c>
      <x:c r="U61" s="8"/>
      <x:c r="V61" s="9" t="s">
        <x:v>416</x:v>
      </x:c>
      <x:c r="W61" s="8" t="s">
        <x:v>169</x:v>
      </x:c>
      <x:c r="X61" s="15" t="n">
        <x:v>57</x:v>
      </x:c>
      <x:c r="Y61" s="15" t="s">
        <x:v>417</x:v>
      </x:c>
    </x:row>
    <x:row r="62" ht="76" hidden="0" customHeight="1">
      <x:c r="A62" s="10" t="s">
        <x:v>128</x:v>
      </x:c>
      <x:c r="B62" s="10" t="s">
        <x:v>225</x:v>
      </x:c>
      <x:c r="C62" s="8" t="s">
        <x:v>418</x:v>
      </x:c>
      <x:c r="D62" s="10" t="n">
        <x:v>1</x:v>
      </x:c>
      <x:c r="E62" s="8" t="s">
        <x:v>419</x:v>
      </x:c>
      <x:c r="F62" s="9" t="str">
        <x:v>Every 10th damaging attack deals {v}% damage to up to 8 targets within 4 m. Uses the crow attack animation.</x:v>
      </x:c>
      <x:c r="G62" s="8" t="s">
        <x:v>172</x:v>
      </x:c>
      <x:c r="H62" s="8" t="n">
        <x:v>10</x:v>
      </x:c>
      <x:c r="I62" s="8" t="s">
        <x:v>173</x:v>
      </x:c>
      <x:c r="J62" s="8" t="n">
        <x:v>0</x:v>
      </x:c>
      <x:c r="K62" s="8" t="n">
        <x:v>80</x:v>
      </x:c>
      <x:c r="L62" s="8" t="n">
        <x:v>12</x:v>
      </x:c>
      <x:c r="M62" s="8" t="s">
        <x:v>79</x:v>
      </x:c>
      <x:c r="N62" s="14" t="n">
        <x:f aca="0">Rules!$B$5</x:f>
        <x:v>10</x:v>
      </x:c>
      <x:c r="O62" s="10" t="n">
        <x:f aca="0">K62+L62*(N62-1)</x:f>
        <x:v>188</x:v>
      </x:c>
      <x:c r="P62" s="10" t="n">
        <x:f aca="0">IF(H62="","",H62+IF(J62="",0,J62)*(N62-1))</x:f>
        <x:v>10</x:v>
      </x:c>
      <x:c r="Q62" s="9" t="str">
        <x:v>Every 8th attack.</x:v>
      </x:c>
      <x:c r="R62" s="9" t="str">
        <x:v>The empowered attack also attempts 2 s Myopia (50% attack-range reduction).</x:v>
      </x:c>
      <x:c r="S62" s="10" t="n">
        <x:f aca="0">INDEX(Rules!$B$11:$B$15,MATCH("Row unlock: "&amp;B62,Rules!$A$11:$A$15,0))+(D62-1)*Rules!$B$10</x:f>
        <x:v>30</x:v>
      </x:c>
      <x:c r="T62" s="10" t="n">
        <x:f aca="0">S62+(N62-1)*Rules!$B$8</x:f>
        <x:v>66</x:v>
      </x:c>
      <x:c r="U62" s="8" t="s">
        <x:v>167</x:v>
      </x:c>
      <x:c r="V62" s="9" t="s">
        <x:v>205</x:v>
      </x:c>
      <x:c r="W62" s="8" t="s">
        <x:v>169</x:v>
      </x:c>
      <x:c r="X62" s="15" t="n">
        <x:v>58</x:v>
      </x:c>
      <x:c r="Y62" s="15" t="s">
        <x:v>420</x:v>
      </x:c>
    </x:row>
    <x:row r="63" ht="15" hidden="0" customHeight="1">
      <x:c r="A63" s="10" t="s">
        <x:v>128</x:v>
      </x:c>
      <x:c r="B63" s="10" t="s">
        <x:v>225</x:v>
      </x:c>
      <x:c r="C63" s="8" t="s">
        <x:v>418</x:v>
      </x:c>
      <x:c r="D63" s="10" t="n">
        <x:v>2</x:v>
      </x:c>
      <x:c r="E63" s="8" t="s">
        <x:v>421</x:v>
      </x:c>
      <x:c r="F63" s="9" t="str">
        <x:v>Monsters within 6 m of the owner have -{v}% defense.</x:v>
      </x:c>
      <x:c r="G63" s="8" t="s">
        <x:v>200</x:v>
      </x:c>
      <x:c r="H63" s="8"/>
      <x:c r="I63" s="8"/>
      <x:c r="J63" s="8"/>
      <x:c r="K63" s="8" t="n">
        <x:v>3</x:v>
      </x:c>
      <x:c r="L63" s="8" t="n">
        <x:v>1</x:v>
      </x:c>
      <x:c r="M63" s="8" t="s">
        <x:v>82</x:v>
      </x:c>
      <x:c r="N63" s="14" t="n">
        <x:f aca="0">Rules!$B$5</x:f>
        <x:v>10</x:v>
      </x:c>
      <x:c r="O63" s="10" t="n">
        <x:f aca="0">K63+L63*(N63-1)</x:f>
        <x:v>12</x:v>
      </x:c>
      <x:c r="P63" s="10" t="str">
        <x:f aca="0">IF(H63="","",H63+IF(J63="",0,J63)*(N63-1))</x:f>
      </x:c>
      <x:c r="Q63" s="9" t="s">
        <x:v>422</x:v>
      </x:c>
      <x:c r="R63" s="9" t="s">
        <x:v>423</x:v>
      </x:c>
      <x:c r="S63" s="10" t="n">
        <x:f aca="0">INDEX(Rules!$B$11:$B$15,MATCH("Row unlock: "&amp;B63,Rules!$A$11:$A$15,0))+(D63-1)*Rules!$B$10</x:f>
        <x:v>35</x:v>
      </x:c>
      <x:c r="T63" s="10" t="n">
        <x:f aca="0">S63+(N63-1)*Rules!$B$8</x:f>
        <x:v>71</x:v>
      </x:c>
      <x:c r="U63" s="8"/>
      <x:c r="V63" s="9" t="s">
        <x:v>424</x:v>
      </x:c>
      <x:c r="W63" s="8" t="s">
        <x:v>217</x:v>
      </x:c>
      <x:c r="X63" s="15" t="n">
        <x:v>59</x:v>
      </x:c>
      <x:c r="Y63" s="15" t="s">
        <x:v>425</x:v>
      </x:c>
    </x:row>
    <x:row r="64" ht="23.25" hidden="0" customHeight="1">
      <x:c r="A64" s="10" t="s">
        <x:v>128</x:v>
      </x:c>
      <x:c r="B64" s="10" t="s">
        <x:v>225</x:v>
      </x:c>
      <x:c r="C64" s="8" t="s">
        <x:v>418</x:v>
      </x:c>
      <x:c r="D64" s="10" t="n">
        <x:v>3</x:v>
      </x:c>
      <x:c r="E64" s="8" t="s">
        <x:v>426</x:v>
      </x:c>
      <x:c r="F64" s="9" t="str">
        <x:v>{v}% of the owner's damage taken is shared with the crow.</x:v>
      </x:c>
      <x:c r="G64" s="8" t="s">
        <x:v>200</x:v>
      </x:c>
      <x:c r="H64" s="8"/>
      <x:c r="I64" s="8"/>
      <x:c r="J64" s="8"/>
      <x:c r="K64" s="8" t="n">
        <x:v>5</x:v>
      </x:c>
      <x:c r="L64" s="8" t="n">
        <x:v>1.5</x:v>
      </x:c>
      <x:c r="M64" s="8" t="s">
        <x:v>427</x:v>
      </x:c>
      <x:c r="N64" s="14" t="n">
        <x:f aca="0">Rules!$B$5</x:f>
        <x:v>10</x:v>
      </x:c>
      <x:c r="O64" s="10" t="n">
        <x:f aca="0">K64+L64*(N64-1)</x:f>
        <x:v>18.5</x:v>
      </x:c>
      <x:c r="P64" s="10" t="str">
        <x:f aca="0">IF(H64="","",H64+IF(J64="",0,J64)*(N64-1))</x:f>
      </x:c>
      <x:c r="Q64" s="9" t="s">
        <x:v>428</x:v>
      </x:c>
      <x:c r="R64" s="9" t="s">
        <x:v>429</x:v>
      </x:c>
      <x:c r="S64" s="10" t="n">
        <x:f aca="0">INDEX(Rules!$B$11:$B$15,MATCH("Row unlock: "&amp;B64,Rules!$A$11:$A$15,0))+(D64-1)*Rules!$B$10</x:f>
        <x:v>40</x:v>
      </x:c>
      <x:c r="T64" s="10" t="n">
        <x:f aca="0">S64+(N64-1)*Rules!$B$8</x:f>
        <x:v>76</x:v>
      </x:c>
      <x:c r="U64" s="8"/>
      <x:c r="V64" s="9" t="s">
        <x:v>430</x:v>
      </x:c>
      <x:c r="W64" s="8" t="s">
        <x:v>183</x:v>
      </x:c>
      <x:c r="X64" s="15" t="n">
        <x:v>60</x:v>
      </x:c>
      <x:c r="Y64" s="15" t="s">
        <x:v>431</x:v>
      </x:c>
    </x:row>
  </x:sheetData>
  <x:dataValidations count="2">
    <x:dataValidation type="list" errorStyle="stop" operator="between" allowBlank="1" showDropDown="0" showInputMessage="0" showErrorMessage="0" sqref="G5:G104">
      <x:formula1>"Timer,Attacks,Hits taken,Kills,Owner casts,Spells,Passive"</x:formula1>
      <x:formula2>0</x:formula2>
    </x:dataValidation>
    <x:dataValidation type="list" errorStyle="stop" operator="between" allowBlank="1" showDropDown="0" showInputMessage="0" showErrorMessage="0" sqref="W5:W104">
      <x:formula1>"Implemented,Planned,Needs engine,Cut"</x:formula1>
      <x:formula2>0</x:formula2>
    </x:dataValidation>
  </x:dataValidations>
  <x:pageMargins left="0.7" right="0.7" top="0.75" bottom="0.75" header="0.3" footer="0.3"/>
  <x:legacyDrawing xmlns:r="http://schemas.openxmlformats.org/officeDocument/2006/relationships" r:id="R65735ee03e694529"/>
</x:worksheet>
</file>

<file path=xl/worksheets/sheet5.xml><?xml version="1.0" encoding="utf-8"?>
<x:worksheet xmlns:x="http://schemas.openxmlformats.org/spreadsheetml/2006/main">
  <x:sheetViews>
    <x:sheetView showGridLines="1" workbookViewId="0"/>
  </x:sheetViews>
  <x:sheetFormatPr defaultColWidth="8.6796875" defaultRowHeight="15"/>
  <x:cols>
    <x:col min="1" max="1" width="9" style="1" hidden="0" customWidth="1"/>
    <x:col min="2" max="4" width="20" style="1" hidden="0" customWidth="1"/>
    <x:col min="5" max="7" width="14" style="1" hidden="0" customWidth="1"/>
    <x:col min="8" max="8" width="12" style="1" hidden="0" customWidth="1"/>
    <x:col min="9" max="9" width="30" style="1" hidden="0" customWidth="1"/>
    <x:col min="10" max="10" width="9" style="1" hidden="0" customWidth="1"/>
    <x:col min="11" max="11" width="30" style="1" hidden="0" customWidth="1"/>
    <x:col min="12" max="12" width="9" style="1" hidden="0" customWidth="1"/>
    <x:col min="13" max="13" width="30" style="1" hidden="0" customWidth="1"/>
    <x:col min="14" max="14" width="9" style="1" hidden="0" customWidth="1"/>
  </x:cols>
  <x:sheetData>
    <x:row r="1" ht="17.25" hidden="0" customHeight="1">
      <x:c r="A1" s="2" t="s">
        <x:v>432</x:v>
      </x:c>
    </x:row>
    <x:row r="2" ht="15" hidden="0" customHeight="1">
      <x:c r="A2" s="3" t="s">
        <x:v>433</x:v>
      </x:c>
    </x:row>
    <x:row r="4" ht="31.5" hidden="0" customHeight="1">
      <x:c r="A4" s="7" t="s">
        <x:v>434</x:v>
      </x:c>
      <x:c r="B4" s="7" t="s">
        <x:v>435</x:v>
      </x:c>
      <x:c r="C4" s="7" t="s">
        <x:v>436</x:v>
      </x:c>
      <x:c r="D4" s="7" t="s">
        <x:v>437</x:v>
      </x:c>
      <x:c r="E4" s="7" t="s">
        <x:v>438</x:v>
      </x:c>
      <x:c r="F4" s="7" t="s">
        <x:v>439</x:v>
      </x:c>
      <x:c r="G4" s="7" t="s">
        <x:v>440</x:v>
      </x:c>
      <x:c r="H4" s="7" t="s">
        <x:v>441</x:v>
      </x:c>
      <x:c r="I4" s="7" t="s">
        <x:v>442</x:v>
      </x:c>
      <x:c r="J4" s="7" t="s">
        <x:v>443</x:v>
      </x:c>
      <x:c r="K4" s="7" t="s">
        <x:v>444</x:v>
      </x:c>
      <x:c r="L4" s="7" t="s">
        <x:v>445</x:v>
      </x:c>
      <x:c r="M4" s="7" t="s">
        <x:v>446</x:v>
      </x:c>
      <x:c r="N4" s="7" t="s">
        <x:v>447</x:v>
      </x:c>
    </x:row>
    <x:row r="5" ht="15" hidden="0" customHeight="1">
      <x:c r="A5" s="10" t="n">
        <x:v>1</x:v>
      </x:c>
      <x:c r="B5" s="8" t="s">
        <x:v>448</x:v>
      </x:c>
      <x:c r="C5" s="8" t="s">
        <x:v>449</x:v>
      </x:c>
      <x:c r="D5" s="8" t="s">
        <x:v>450</x:v>
      </x:c>
      <x:c r="E5" s="10" t="n">
        <x:f aca="0">A5*Rules!$B$25</x:f>
        <x:v>2</x:v>
      </x:c>
      <x:c r="F5" s="10" t="n">
        <x:f aca="0">A5*Rules!$B$26</x:f>
        <x:v>3</x:v>
      </x:c>
      <x:c r="G5" s="10" t="n">
        <x:f aca="0">A5*Rules!$B$27</x:f>
        <x:v>1</x:v>
      </x:c>
      <x:c r="H5" s="10" t="n">
        <x:f aca="0">Degrees!B5</x:f>
        <x:v>1</x:v>
      </x:c>
      <x:c r="I5" s="15" t="s">
        <x:v>451</x:v>
      </x:c>
      <x:c r="J5" s="15" t="n">
        <x:v>30101</x:v>
      </x:c>
      <x:c r="K5" s="15" t="s">
        <x:v>452</x:v>
      </x:c>
      <x:c r="L5" s="15" t="n">
        <x:v>30201</x:v>
      </x:c>
      <x:c r="M5" s="15" t="s">
        <x:v>453</x:v>
      </x:c>
      <x:c r="N5" s="15" t="n">
        <x:v>30301</x:v>
      </x:c>
    </x:row>
    <x:row r="6" ht="15" hidden="0" customHeight="1">
      <x:c r="A6" s="10" t="n">
        <x:v>2</x:v>
      </x:c>
      <x:c r="B6" s="8" t="s">
        <x:v>454</x:v>
      </x:c>
      <x:c r="C6" s="8" t="s">
        <x:v>455</x:v>
      </x:c>
      <x:c r="D6" s="8" t="s">
        <x:v>456</x:v>
      </x:c>
      <x:c r="E6" s="10" t="n">
        <x:f aca="0">A6*Rules!$B$25</x:f>
        <x:v>4</x:v>
      </x:c>
      <x:c r="F6" s="10" t="n">
        <x:f aca="0">A6*Rules!$B$26</x:f>
        <x:v>6</x:v>
      </x:c>
      <x:c r="G6" s="10" t="n">
        <x:f aca="0">A6*Rules!$B$27</x:f>
        <x:v>2</x:v>
      </x:c>
      <x:c r="H6" s="10" t="n">
        <x:f aca="0">Degrees!B6</x:f>
        <x:v>8</x:v>
      </x:c>
      <x:c r="I6" s="15" t="s">
        <x:v>457</x:v>
      </x:c>
      <x:c r="J6" s="15" t="n">
        <x:v>30102</x:v>
      </x:c>
      <x:c r="K6" s="15" t="s">
        <x:v>458</x:v>
      </x:c>
      <x:c r="L6" s="15" t="n">
        <x:v>30202</x:v>
      </x:c>
      <x:c r="M6" s="15" t="s">
        <x:v>459</x:v>
      </x:c>
      <x:c r="N6" s="15" t="n">
        <x:v>30302</x:v>
      </x:c>
    </x:row>
    <x:row r="7" ht="15" hidden="0" customHeight="1">
      <x:c r="A7" s="10" t="n">
        <x:v>3</x:v>
      </x:c>
      <x:c r="B7" s="8" t="s">
        <x:v>460</x:v>
      </x:c>
      <x:c r="C7" s="8" t="s">
        <x:v>461</x:v>
      </x:c>
      <x:c r="D7" s="8" t="s">
        <x:v>462</x:v>
      </x:c>
      <x:c r="E7" s="10" t="n">
        <x:f aca="0">A7*Rules!$B$25</x:f>
        <x:v>6</x:v>
      </x:c>
      <x:c r="F7" s="10" t="n">
        <x:f aca="0">A7*Rules!$B$26</x:f>
        <x:v>9</x:v>
      </x:c>
      <x:c r="G7" s="10" t="n">
        <x:f aca="0">A7*Rules!$B$27</x:f>
        <x:v>3</x:v>
      </x:c>
      <x:c r="H7" s="10" t="n">
        <x:f aca="0">Degrees!B7</x:f>
        <x:v>16</x:v>
      </x:c>
      <x:c r="I7" s="15" t="s">
        <x:v>463</x:v>
      </x:c>
      <x:c r="J7" s="15" t="n">
        <x:v>30103</x:v>
      </x:c>
      <x:c r="K7" s="15" t="s">
        <x:v>464</x:v>
      </x:c>
      <x:c r="L7" s="15" t="n">
        <x:v>30203</x:v>
      </x:c>
      <x:c r="M7" s="15" t="s">
        <x:v>465</x:v>
      </x:c>
      <x:c r="N7" s="15" t="n">
        <x:v>30303</x:v>
      </x:c>
    </x:row>
    <x:row r="8" ht="15" hidden="0" customHeight="1">
      <x:c r="A8" s="10" t="n">
        <x:v>4</x:v>
      </x:c>
      <x:c r="B8" s="8" t="s">
        <x:v>466</x:v>
      </x:c>
      <x:c r="C8" s="8" t="s">
        <x:v>467</x:v>
      </x:c>
      <x:c r="D8" s="8" t="s">
        <x:v>468</x:v>
      </x:c>
      <x:c r="E8" s="10" t="n">
        <x:f aca="0">A8*Rules!$B$25</x:f>
        <x:v>8</x:v>
      </x:c>
      <x:c r="F8" s="10" t="n">
        <x:f aca="0">A8*Rules!$B$26</x:f>
        <x:v>12</x:v>
      </x:c>
      <x:c r="G8" s="10" t="n">
        <x:f aca="0">A8*Rules!$B$27</x:f>
        <x:v>4</x:v>
      </x:c>
      <x:c r="H8" s="10" t="n">
        <x:f aca="0">Degrees!B8</x:f>
        <x:v>24</x:v>
      </x:c>
      <x:c r="I8" s="15" t="s">
        <x:v>469</x:v>
      </x:c>
      <x:c r="J8" s="15" t="n">
        <x:v>30104</x:v>
      </x:c>
      <x:c r="K8" s="15" t="s">
        <x:v>470</x:v>
      </x:c>
      <x:c r="L8" s="15" t="n">
        <x:v>30204</x:v>
      </x:c>
      <x:c r="M8" s="15" t="s">
        <x:v>471</x:v>
      </x:c>
      <x:c r="N8" s="15" t="n">
        <x:v>30304</x:v>
      </x:c>
    </x:row>
    <x:row r="9" ht="15" hidden="0" customHeight="1">
      <x:c r="A9" s="10" t="n">
        <x:v>5</x:v>
      </x:c>
      <x:c r="B9" s="8" t="s">
        <x:v>472</x:v>
      </x:c>
      <x:c r="C9" s="8" t="s">
        <x:v>473</x:v>
      </x:c>
      <x:c r="D9" s="8" t="s">
        <x:v>474</x:v>
      </x:c>
      <x:c r="E9" s="10" t="n">
        <x:f aca="0">A9*Rules!$B$25</x:f>
        <x:v>10</x:v>
      </x:c>
      <x:c r="F9" s="10" t="n">
        <x:f aca="0">A9*Rules!$B$26</x:f>
        <x:v>15</x:v>
      </x:c>
      <x:c r="G9" s="10" t="n">
        <x:f aca="0">A9*Rules!$B$27</x:f>
        <x:v>5</x:v>
      </x:c>
      <x:c r="H9" s="10" t="n">
        <x:f aca="0">Degrees!B9</x:f>
        <x:v>32</x:v>
      </x:c>
      <x:c r="I9" s="15" t="s">
        <x:v>475</x:v>
      </x:c>
      <x:c r="J9" s="15" t="n">
        <x:v>30105</x:v>
      </x:c>
      <x:c r="K9" s="15" t="s">
        <x:v>476</x:v>
      </x:c>
      <x:c r="L9" s="15" t="n">
        <x:v>30205</x:v>
      </x:c>
      <x:c r="M9" s="15" t="s">
        <x:v>477</x:v>
      </x:c>
      <x:c r="N9" s="15" t="n">
        <x:v>30305</x:v>
      </x:c>
    </x:row>
    <x:row r="10" ht="15" hidden="0" customHeight="1">
      <x:c r="A10" s="10" t="n">
        <x:v>6</x:v>
      </x:c>
      <x:c r="B10" s="8" t="s">
        <x:v>478</x:v>
      </x:c>
      <x:c r="C10" s="8" t="s">
        <x:v>479</x:v>
      </x:c>
      <x:c r="D10" s="8" t="s">
        <x:v>480</x:v>
      </x:c>
      <x:c r="E10" s="10" t="n">
        <x:f aca="0">A10*Rules!$B$25</x:f>
        <x:v>12</x:v>
      </x:c>
      <x:c r="F10" s="10" t="n">
        <x:f aca="0">A10*Rules!$B$26</x:f>
        <x:v>18</x:v>
      </x:c>
      <x:c r="G10" s="10" t="n">
        <x:f aca="0">A10*Rules!$B$27</x:f>
        <x:v>6</x:v>
      </x:c>
      <x:c r="H10" s="10" t="n">
        <x:f aca="0">Degrees!B10</x:f>
        <x:v>42</x:v>
      </x:c>
      <x:c r="I10" s="15" t="s">
        <x:v>481</x:v>
      </x:c>
      <x:c r="J10" s="15" t="n">
        <x:v>30106</x:v>
      </x:c>
      <x:c r="K10" s="15" t="s">
        <x:v>482</x:v>
      </x:c>
      <x:c r="L10" s="15" t="n">
        <x:v>30206</x:v>
      </x:c>
      <x:c r="M10" s="15" t="s">
        <x:v>483</x:v>
      </x:c>
      <x:c r="N10" s="15" t="n">
        <x:v>30306</x:v>
      </x:c>
    </x:row>
    <x:row r="11" ht="15" hidden="0" customHeight="1">
      <x:c r="A11" s="10" t="n">
        <x:v>7</x:v>
      </x:c>
      <x:c r="B11" s="8" t="s">
        <x:v>484</x:v>
      </x:c>
      <x:c r="C11" s="8" t="s">
        <x:v>485</x:v>
      </x:c>
      <x:c r="D11" s="8" t="s">
        <x:v>486</x:v>
      </x:c>
      <x:c r="E11" s="10" t="n">
        <x:f aca="0">A11*Rules!$B$25</x:f>
        <x:v>14</x:v>
      </x:c>
      <x:c r="F11" s="10" t="n">
        <x:f aca="0">A11*Rules!$B$26</x:f>
        <x:v>21</x:v>
      </x:c>
      <x:c r="G11" s="10" t="n">
        <x:f aca="0">A11*Rules!$B$27</x:f>
        <x:v>7</x:v>
      </x:c>
      <x:c r="H11" s="10" t="n">
        <x:f aca="0">Degrees!B11</x:f>
        <x:v>52</x:v>
      </x:c>
      <x:c r="I11" s="15" t="s">
        <x:v>487</x:v>
      </x:c>
      <x:c r="J11" s="15" t="n">
        <x:v>30107</x:v>
      </x:c>
      <x:c r="K11" s="15" t="s">
        <x:v>488</x:v>
      </x:c>
      <x:c r="L11" s="15" t="n">
        <x:v>30207</x:v>
      </x:c>
      <x:c r="M11" s="15" t="s">
        <x:v>489</x:v>
      </x:c>
      <x:c r="N11" s="15" t="n">
        <x:v>30307</x:v>
      </x:c>
    </x:row>
    <x:row r="12" ht="15" hidden="0" customHeight="1">
      <x:c r="A12" s="10" t="n">
        <x:v>8</x:v>
      </x:c>
      <x:c r="B12" s="8" t="s">
        <x:v>490</x:v>
      </x:c>
      <x:c r="C12" s="8" t="s">
        <x:v>491</x:v>
      </x:c>
      <x:c r="D12" s="8" t="s">
        <x:v>492</x:v>
      </x:c>
      <x:c r="E12" s="10" t="n">
        <x:f aca="0">A12*Rules!$B$25</x:f>
        <x:v>16</x:v>
      </x:c>
      <x:c r="F12" s="10" t="n">
        <x:f aca="0">A12*Rules!$B$26</x:f>
        <x:v>24</x:v>
      </x:c>
      <x:c r="G12" s="10" t="n">
        <x:f aca="0">A12*Rules!$B$27</x:f>
        <x:v>8</x:v>
      </x:c>
      <x:c r="H12" s="10" t="n">
        <x:f aca="0">Degrees!B12</x:f>
        <x:v>64</x:v>
      </x:c>
      <x:c r="I12" s="15" t="s">
        <x:v>493</x:v>
      </x:c>
      <x:c r="J12" s="15" t="n">
        <x:v>30108</x:v>
      </x:c>
      <x:c r="K12" s="15" t="s">
        <x:v>494</x:v>
      </x:c>
      <x:c r="L12" s="15" t="n">
        <x:v>30208</x:v>
      </x:c>
      <x:c r="M12" s="15" t="s">
        <x:v>495</x:v>
      </x:c>
      <x:c r="N12" s="15" t="n">
        <x:v>30308</x:v>
      </x:c>
    </x:row>
    <x:row r="13" ht="15" hidden="0" customHeight="1">
      <x:c r="A13" s="10" t="n">
        <x:v>9</x:v>
      </x:c>
      <x:c r="B13" s="8" t="s">
        <x:v>496</x:v>
      </x:c>
      <x:c r="C13" s="8" t="s">
        <x:v>497</x:v>
      </x:c>
      <x:c r="D13" s="8" t="s">
        <x:v>498</x:v>
      </x:c>
      <x:c r="E13" s="10" t="n">
        <x:f aca="0">A13*Rules!$B$25</x:f>
        <x:v>18</x:v>
      </x:c>
      <x:c r="F13" s="10" t="n">
        <x:f aca="0">A13*Rules!$B$26</x:f>
        <x:v>27</x:v>
      </x:c>
      <x:c r="G13" s="10" t="n">
        <x:f aca="0">A13*Rules!$B$27</x:f>
        <x:v>9</x:v>
      </x:c>
      <x:c r="H13" s="10" t="n">
        <x:f aca="0">Degrees!B13</x:f>
        <x:v>76</x:v>
      </x:c>
      <x:c r="I13" s="15" t="s">
        <x:v>499</x:v>
      </x:c>
      <x:c r="J13" s="15" t="n">
        <x:v>30109</x:v>
      </x:c>
      <x:c r="K13" s="15" t="s">
        <x:v>500</x:v>
      </x:c>
      <x:c r="L13" s="15" t="n">
        <x:v>30209</x:v>
      </x:c>
      <x:c r="M13" s="15" t="s">
        <x:v>501</x:v>
      </x:c>
      <x:c r="N13" s="15" t="n">
        <x:v>30309</x:v>
      </x:c>
    </x:row>
    <x:row r="15" ht="15" hidden="0" customHeight="1">
      <x:c r="A15" s="13" t="s">
        <x:v>502</x:v>
      </x:c>
    </x:row>
    <x:row r="16" ht="15" hidden="0" customHeight="1">
      <x:c r="A16" s="13" t="str">
        <x:v>Normal: 0 blues. Magic: 1–2, capped by degree. Rare: 3–6, capped by degree. See Degrees for caps, odds and roll floors. Existing items are not rerolled.</x:v>
      </x:c>
    </x:row>
  </x:sheetData>
  <x:pageMargins left="0.7" right="0.7" top="0.75" bottom="0.75" header="0.3" footer="0.3"/>
  <x:legacyDrawing xmlns:r="http://schemas.openxmlformats.org/officeDocument/2006/relationships" r:id="R4a091fb883854d92"/>
</x:worksheet>
</file>

<file path=xl/worksheets/sheet6.xml><?xml version="1.0" encoding="utf-8"?>
<x:worksheet xmlns:x="http://schemas.openxmlformats.org/spreadsheetml/2006/main">
  <x:sheetViews>
    <x:sheetView showGridLines="1" workbookViewId="0"/>
  </x:sheetViews>
  <x:sheetFormatPr defaultColWidth="8.6796875" defaultRowHeight="15"/>
  <x:cols>
    <x:col min="1" max="1" width="8" style="1" hidden="0" customWidth="1"/>
    <x:col min="2" max="3" width="10" style="1" hidden="0" customWidth="1"/>
    <x:col min="4" max="4" width="11" style="1" hidden="0" customWidth="1"/>
    <x:col min="5" max="5" width="10" style="1" hidden="0" customWidth="1"/>
    <x:col min="6" max="10" width="9" style="1" hidden="0" customWidth="1"/>
    <x:col min="11" max="13" width="10" style="1" hidden="0" customWidth="1"/>
    <x:col min="14" max="14" width="11" style="1" hidden="0" customWidth="1"/>
    <x:col min="15" max="15" width="10" style="1" hidden="0" customWidth="1"/>
    <x:col min="16" max="16" width="20" hidden="0" customWidth="1"/>
    <x:col min="17" max="17" width="20" hidden="0" customWidth="1"/>
    <x:col min="18" max="18" width="20" hidden="0" customWidth="1"/>
  </x:cols>
  <x:sheetData>
    <x:row r="1" ht="17.25" hidden="0" customHeight="1">
      <x:c r="A1" s="2" t="s">
        <x:v>503</x:v>
      </x:c>
    </x:row>
    <x:row r="2" ht="15" hidden="0" customHeight="1">
      <x:c r="A2" s="3" t="s">
        <x:v>504</x:v>
      </x:c>
    </x:row>
    <x:row r="4" ht="31.5" hidden="0" customHeight="1">
      <x:c r="A4" s="7" t="s">
        <x:v>434</x:v>
      </x:c>
      <x:c r="B4" s="7" t="s">
        <x:v>505</x:v>
      </x:c>
      <x:c r="C4" s="7" t="s">
        <x:v>506</x:v>
      </x:c>
      <x:c r="D4" s="7" t="s">
        <x:v>507</x:v>
      </x:c>
      <x:c r="E4" s="7" t="s">
        <x:v>508</x:v>
      </x:c>
      <x:c r="F4" s="7" t="s">
        <x:v>509</x:v>
      </x:c>
      <x:c r="G4" s="7" t="s">
        <x:v>510</x:v>
      </x:c>
      <x:c r="H4" s="7" t="s">
        <x:v>511</x:v>
      </x:c>
      <x:c r="I4" s="7" t="s">
        <x:v>512</x:v>
      </x:c>
      <x:c r="J4" s="7" t="s">
        <x:v>513</x:v>
      </x:c>
      <x:c r="K4" s="7" t="s">
        <x:v>514</x:v>
      </x:c>
      <x:c r="L4" s="7" t="s">
        <x:v>515</x:v>
      </x:c>
      <x:c r="M4" s="7" t="s">
        <x:v>516</x:v>
      </x:c>
      <x:c r="N4" s="7" t="s">
        <x:v>517</x:v>
      </x:c>
      <x:c r="O4" s="7" t="s">
        <x:v>518</x:v>
      </x:c>
      <x:c r="P4" s="32" t="str">
        <x:v>Rare: 6 blues weight</x:v>
      </x:c>
      <x:c r="Q4" s="32" t="str">
        <x:v>Max blues</x:v>
      </x:c>
      <x:c r="R4" s="32" t="str">
        <x:v>Minimum roll percentile</x:v>
      </x:c>
    </x:row>
    <x:row r="5" ht="15" hidden="0" customHeight="1">
      <x:c r="A5" s="10" t="n">
        <x:v>1</x:v>
      </x:c>
      <x:c r="B5" s="8" t="n">
        <x:v>1</x:v>
      </x:c>
      <x:c r="C5" s="8" t="n">
        <x:v>7</x:v>
      </x:c>
      <x:c r="D5" s="17" t="n">
        <x:v>0.001</x:v>
      </x:c>
      <x:c r="E5" s="18" t="n">
        <x:f aca="0">MIN(1,D5*Rules!$B$22)</x:f>
        <x:v>0.003</x:v>
      </x:c>
      <x:c r="F5" s="18" t="n">
        <x:f aca="0">MIN(1,D5*Rules!$B$23)</x:f>
        <x:v>0.008</x:v>
      </x:c>
      <x:c r="G5" s="18" t="n">
        <x:f aca="0">MIN(1,D5*Rules!$B$24)</x:f>
        <x:v>0.1</x:v>
      </x:c>
      <x:c r="H5" s="17" t="n">
        <x:v>0.3</x:v>
      </x:c>
      <x:c r="I5" s="17" t="n">
        <x:v>0.03</x:v>
      </x:c>
      <x:c r="J5" s="18" t="n">
        <x:f aca="0">1-H5-I5</x:f>
        <x:v>0.6699999999999999</x:v>
      </x:c>
      <x:c r="K5" s="8" t="n">
        <x:v>85</x:v>
      </x:c>
      <x:c r="L5" s="8" t="n">
        <x:v>13</x:v>
      </x:c>
      <x:c r="M5" s="8" t="n">
        <x:v>2</x:v>
      </x:c>
      <x:c r="N5" s="19" t="n">
        <x:f aca="0">H5*(1+Rules!$B$20*IF(Q5&gt;1,1,0))+I5*(MIN(3,Q5)*K5+MIN(4,Q5)*L5+MIN(5,Q5)*M5+MIN(6,Q5)*P5)/(K5+L5+M5+P5)</x:f>
        <x:v>0.32999999999999996</x:v>
      </x:c>
      <x:c r="O5" s="20" t="n">
        <x:f aca="0">COUNTIFS(Affixes!$I$5:$I$104,"&lt;="&amp;A5)</x:f>
        <x:v>14</x:v>
      </x:c>
      <x:c r="P5" s="8" t="n">
        <x:v>0</x:v>
      </x:c>
      <x:c r="Q5" s="8" t="n">
        <x:v>1</x:v>
      </x:c>
      <x:c r="R5" s="33" t="n">
        <x:v>0</x:v>
      </x:c>
    </x:row>
    <x:row r="6" ht="15" hidden="0" customHeight="1">
      <x:c r="A6" s="10" t="n">
        <x:v>2</x:v>
      </x:c>
      <x:c r="B6" s="8" t="n">
        <x:v>8</x:v>
      </x:c>
      <x:c r="C6" s="8" t="n">
        <x:v>15</x:v>
      </x:c>
      <x:c r="D6" s="17" t="n">
        <x:v>0.001</x:v>
      </x:c>
      <x:c r="E6" s="18" t="n">
        <x:f aca="0">MIN(1,D6*Rules!$B$22)</x:f>
        <x:v>0.003</x:v>
      </x:c>
      <x:c r="F6" s="18" t="n">
        <x:f aca="0">MIN(1,D6*Rules!$B$23)</x:f>
        <x:v>0.008</x:v>
      </x:c>
      <x:c r="G6" s="18" t="n">
        <x:f aca="0">MIN(1,D6*Rules!$B$24)</x:f>
        <x:v>0.1</x:v>
      </x:c>
      <x:c r="H6" s="17" t="n">
        <x:v>0.32</x:v>
      </x:c>
      <x:c r="I6" s="17" t="n">
        <x:v>0.04</x:v>
      </x:c>
      <x:c r="J6" s="18" t="n">
        <x:f aca="0">1-H6-I6</x:f>
        <x:v>0.6399999999999999</x:v>
      </x:c>
      <x:c r="K6" s="8" t="n">
        <x:v>80</x:v>
      </x:c>
      <x:c r="L6" s="8" t="n">
        <x:v>16</x:v>
      </x:c>
      <x:c r="M6" s="8" t="n">
        <x:v>4</x:v>
      </x:c>
      <x:c r="N6" s="19" t="n">
        <x:f aca="0">H6*(1+Rules!$B$20*IF(Q6&gt;1,1,0))+I6*(MIN(3,Q6)*K6+MIN(4,Q6)*L6+MIN(5,Q6)*M6+MIN(6,Q6)*P6)/(K6+L6+M6+P6)</x:f>
        <x:v>0.5279999999999999</x:v>
      </x:c>
      <x:c r="O6" s="20" t="n">
        <x:f aca="0">COUNTIFS(Affixes!$I$5:$I$104,"&lt;="&amp;A6)</x:f>
        <x:v>18</x:v>
      </x:c>
      <x:c r="P6" s="8" t="n">
        <x:v>0</x:v>
      </x:c>
      <x:c r="Q6" s="8" t="n">
        <x:v>2</x:v>
      </x:c>
      <x:c r="R6" s="33" t="n">
        <x:v>0.0625</x:v>
      </x:c>
    </x:row>
    <x:row r="7" ht="15" hidden="0" customHeight="1">
      <x:c r="A7" s="10" t="n">
        <x:v>3</x:v>
      </x:c>
      <x:c r="B7" s="8" t="n">
        <x:v>16</x:v>
      </x:c>
      <x:c r="C7" s="8" t="n">
        <x:v>23</x:v>
      </x:c>
      <x:c r="D7" s="17" t="n">
        <x:v>0.0011</x:v>
      </x:c>
      <x:c r="E7" s="18" t="n">
        <x:f aca="0">MIN(1,D7*Rules!$B$22)</x:f>
        <x:v>0.0033</x:v>
      </x:c>
      <x:c r="F7" s="18" t="n">
        <x:f aca="0">MIN(1,D7*Rules!$B$23)</x:f>
        <x:v>0.0088</x:v>
      </x:c>
      <x:c r="G7" s="18" t="n">
        <x:f aca="0">MIN(1,D7*Rules!$B$24)</x:f>
        <x:v>0.11</x:v>
      </x:c>
      <x:c r="H7" s="17" t="n">
        <x:v>0.34</x:v>
      </x:c>
      <x:c r="I7" s="17" t="n">
        <x:v>0.05</x:v>
      </x:c>
      <x:c r="J7" s="18" t="n">
        <x:f aca="0">1-H7-I7</x:f>
        <x:v>0.6099999999999999</x:v>
      </x:c>
      <x:c r="K7" s="8" t="n">
        <x:v>75</x:v>
      </x:c>
      <x:c r="L7" s="8" t="n">
        <x:v>20</x:v>
      </x:c>
      <x:c r="M7" s="8" t="n">
        <x:v>5</x:v>
      </x:c>
      <x:c r="N7" s="19" t="n">
        <x:f aca="0">H7*(1+Rules!$B$20*IF(Q7&gt;1,1,0))+I7*(MIN(3,Q7)*K7+MIN(4,Q7)*L7+MIN(5,Q7)*M7+MIN(6,Q7)*P7)/(K7+L7+M7+P7)</x:f>
        <x:v>0.576</x:v>
      </x:c>
      <x:c r="O7" s="20" t="n">
        <x:f aca="0">COUNTIFS(Affixes!$I$5:$I$104,"&lt;="&amp;A7)</x:f>
        <x:v>36</x:v>
      </x:c>
      <x:c r="P7" s="8" t="n">
        <x:v>0</x:v>
      </x:c>
      <x:c r="Q7" s="8" t="n">
        <x:v>2</x:v>
      </x:c>
      <x:c r="R7" s="33" t="n">
        <x:v>0.125</x:v>
      </x:c>
    </x:row>
    <x:row r="8" ht="15" hidden="0" customHeight="1">
      <x:c r="A8" s="10" t="n">
        <x:v>4</x:v>
      </x:c>
      <x:c r="B8" s="8" t="n">
        <x:v>24</x:v>
      </x:c>
      <x:c r="C8" s="8" t="n">
        <x:v>31</x:v>
      </x:c>
      <x:c r="D8" s="17" t="n">
        <x:v>0.0011</x:v>
      </x:c>
      <x:c r="E8" s="18" t="n">
        <x:f aca="0">MIN(1,D8*Rules!$B$22)</x:f>
        <x:v>0.0033</x:v>
      </x:c>
      <x:c r="F8" s="18" t="n">
        <x:f aca="0">MIN(1,D8*Rules!$B$23)</x:f>
        <x:v>0.0088</x:v>
      </x:c>
      <x:c r="G8" s="18" t="n">
        <x:f aca="0">MIN(1,D8*Rules!$B$24)</x:f>
        <x:v>0.11</x:v>
      </x:c>
      <x:c r="H8" s="17" t="n">
        <x:v>0.36</x:v>
      </x:c>
      <x:c r="I8" s="17" t="n">
        <x:v>0.06</x:v>
      </x:c>
      <x:c r="J8" s="18" t="n">
        <x:f aca="0">1-H8-I8</x:f>
        <x:v>0.5800000000000001</x:v>
      </x:c>
      <x:c r="K8" s="8" t="n">
        <x:v>70</x:v>
      </x:c>
      <x:c r="L8" s="8" t="n">
        <x:v>23</x:v>
      </x:c>
      <x:c r="M8" s="8" t="n">
        <x:v>7</x:v>
      </x:c>
      <x:c r="N8" s="19" t="n">
        <x:f aca="0">H8*(1+Rules!$B$20*IF(Q8&gt;1,1,0))+I8*(MIN(3,Q8)*K8+MIN(4,Q8)*L8+MIN(5,Q8)*M8+MIN(6,Q8)*P8)/(K8+L8+M8+P8)</x:f>
        <x:v>0.6839999999999999</x:v>
      </x:c>
      <x:c r="O8" s="20" t="n">
        <x:f aca="0">COUNTIFS(Affixes!$I$5:$I$104,"&lt;="&amp;A8)</x:f>
        <x:v>48</x:v>
      </x:c>
      <x:c r="P8" s="8" t="n">
        <x:v>0</x:v>
      </x:c>
      <x:c r="Q8" s="8" t="n">
        <x:v>3</x:v>
      </x:c>
      <x:c r="R8" s="33" t="n">
        <x:v>0.1875</x:v>
      </x:c>
    </x:row>
    <x:row r="9" ht="15" hidden="0" customHeight="1">
      <x:c r="A9" s="10" t="n">
        <x:v>5</x:v>
      </x:c>
      <x:c r="B9" s="8" t="n">
        <x:v>32</x:v>
      </x:c>
      <x:c r="C9" s="8" t="n">
        <x:v>41</x:v>
      </x:c>
      <x:c r="D9" s="17" t="n">
        <x:v>0.0012</x:v>
      </x:c>
      <x:c r="E9" s="18" t="n">
        <x:f aca="0">MIN(1,D9*Rules!$B$22)</x:f>
        <x:v>0.0036</x:v>
      </x:c>
      <x:c r="F9" s="18" t="n">
        <x:f aca="0">MIN(1,D9*Rules!$B$23)</x:f>
        <x:v>0.0096</x:v>
      </x:c>
      <x:c r="G9" s="18" t="n">
        <x:f aca="0">MIN(1,D9*Rules!$B$24)</x:f>
        <x:v>0.12</x:v>
      </x:c>
      <x:c r="H9" s="17" t="n">
        <x:v>0.38</x:v>
      </x:c>
      <x:c r="I9" s="17" t="n">
        <x:v>0.07</x:v>
      </x:c>
      <x:c r="J9" s="18" t="n">
        <x:f aca="0">1-H9-I9</x:f>
        <x:v>0.55</x:v>
      </x:c>
      <x:c r="K9" s="8" t="n">
        <x:v>64</x:v>
      </x:c>
      <x:c r="L9" s="8" t="n">
        <x:v>27</x:v>
      </x:c>
      <x:c r="M9" s="8" t="n">
        <x:v>9</x:v>
      </x:c>
      <x:c r="N9" s="19" t="n">
        <x:f aca="0">H9*(1+Rules!$B$20*IF(Q9&gt;1,1,0))+I9*(MIN(3,Q9)*K9+MIN(4,Q9)*L9+MIN(5,Q9)*M9+MIN(6,Q9)*P9)/(K9+L9+M9+P9)</x:f>
        <x:v>0.742</x:v>
      </x:c>
      <x:c r="O9" s="20" t="n">
        <x:f aca="0">COUNTIFS(Affixes!$I$5:$I$104,"&lt;="&amp;A9)</x:f>
        <x:v>61</x:v>
      </x:c>
      <x:c r="P9" s="8" t="n">
        <x:v>0</x:v>
      </x:c>
      <x:c r="Q9" s="8" t="n">
        <x:v>3</x:v>
      </x:c>
      <x:c r="R9" s="33" t="n">
        <x:v>0.25</x:v>
      </x:c>
    </x:row>
    <x:row r="10" ht="15" hidden="0" customHeight="1">
      <x:c r="A10" s="10" t="n">
        <x:v>6</x:v>
      </x:c>
      <x:c r="B10" s="8" t="n">
        <x:v>42</x:v>
      </x:c>
      <x:c r="C10" s="8" t="n">
        <x:v>51</x:v>
      </x:c>
      <x:c r="D10" s="17" t="n">
        <x:v>0.0012</x:v>
      </x:c>
      <x:c r="E10" s="18" t="n">
        <x:f aca="0">MIN(1,D10*Rules!$B$22)</x:f>
        <x:v>0.0036</x:v>
      </x:c>
      <x:c r="F10" s="18" t="n">
        <x:f aca="0">MIN(1,D10*Rules!$B$23)</x:f>
        <x:v>0.0096</x:v>
      </x:c>
      <x:c r="G10" s="18" t="n">
        <x:f aca="0">MIN(1,D10*Rules!$B$24)</x:f>
        <x:v>0.12</x:v>
      </x:c>
      <x:c r="H10" s="17" t="n">
        <x:v>0.4</x:v>
      </x:c>
      <x:c r="I10" s="17" t="n">
        <x:v>0.08</x:v>
      </x:c>
      <x:c r="J10" s="18" t="n">
        <x:f aca="0">1-H10-I10</x:f>
        <x:v>0.52</x:v>
      </x:c>
      <x:c r="K10" s="8" t="n">
        <x:v>58</x:v>
      </x:c>
      <x:c r="L10" s="8" t="n">
        <x:v>30</x:v>
      </x:c>
      <x:c r="M10" s="8" t="n">
        <x:v>12</x:v>
      </x:c>
      <x:c r="N10" s="19" t="n">
        <x:f aca="0">H10*(1+Rules!$B$20*IF(Q10&gt;1,1,0))+I10*(MIN(3,Q10)*K10+MIN(4,Q10)*L10+MIN(5,Q10)*M10+MIN(6,Q10)*P10)/(K10+L10+M10+P10)</x:f>
        <x:v>0.8335999999999999</x:v>
      </x:c>
      <x:c r="O10" s="20" t="n">
        <x:f aca="0">COUNTIFS(Affixes!$I$5:$I$104,"&lt;="&amp;A10)</x:f>
        <x:v>69</x:v>
      </x:c>
      <x:c r="P10" s="8" t="n">
        <x:v>0</x:v>
      </x:c>
      <x:c r="Q10" s="8" t="n">
        <x:v>4</x:v>
      </x:c>
      <x:c r="R10" s="33" t="n">
        <x:v>0.3125</x:v>
      </x:c>
    </x:row>
    <x:row r="11" ht="15" hidden="0" customHeight="1">
      <x:c r="A11" s="10" t="n">
        <x:v>7</x:v>
      </x:c>
      <x:c r="B11" s="8" t="n">
        <x:v>52</x:v>
      </x:c>
      <x:c r="C11" s="8" t="n">
        <x:v>63</x:v>
      </x:c>
      <x:c r="D11" s="17" t="n">
        <x:v>0.0013</x:v>
      </x:c>
      <x:c r="E11" s="18" t="n">
        <x:f aca="0">MIN(1,D11*Rules!$B$22)</x:f>
        <x:v>0.0039</x:v>
      </x:c>
      <x:c r="F11" s="18" t="n">
        <x:f aca="0">MIN(1,D11*Rules!$B$23)</x:f>
        <x:v>0.0104</x:v>
      </x:c>
      <x:c r="G11" s="18" t="n">
        <x:f aca="0">MIN(1,D11*Rules!$B$24)</x:f>
        <x:v>0.13</x:v>
      </x:c>
      <x:c r="H11" s="17" t="n">
        <x:v>0.42</x:v>
      </x:c>
      <x:c r="I11" s="17" t="n">
        <x:v>0.09</x:v>
      </x:c>
      <x:c r="J11" s="18" t="n">
        <x:f aca="0">1-H11-I11</x:f>
        <x:v>0.4900000000000001</x:v>
      </x:c>
      <x:c r="K11" s="8" t="n">
        <x:v>52</x:v>
      </x:c>
      <x:c r="L11" s="8" t="n">
        <x:v>33</x:v>
      </x:c>
      <x:c r="M11" s="8" t="n">
        <x:v>15</x:v>
      </x:c>
      <x:c r="N11" s="19" t="n">
        <x:f aca="0">H11*(1+Rules!$B$20*IF(Q11&gt;1,1,0))+I11*(MIN(3,Q11)*K11+MIN(4,Q11)*L11+MIN(5,Q11)*M11+MIN(6,Q11)*P11)/(K11+L11+M11+P11)</x:f>
        <x:v>0.9012</x:v>
      </x:c>
      <x:c r="O11" s="20" t="n">
        <x:f aca="0">COUNTIFS(Affixes!$I$5:$I$104,"&lt;="&amp;A11)</x:f>
        <x:v>85</x:v>
      </x:c>
      <x:c r="P11" s="8" t="n">
        <x:v>0</x:v>
      </x:c>
      <x:c r="Q11" s="8" t="n">
        <x:v>4</x:v>
      </x:c>
      <x:c r="R11" s="33" t="n">
        <x:v>0.375</x:v>
      </x:c>
    </x:row>
    <x:row r="12" ht="15" hidden="0" customHeight="1">
      <x:c r="A12" s="10" t="n">
        <x:v>8</x:v>
      </x:c>
      <x:c r="B12" s="8" t="n">
        <x:v>64</x:v>
      </x:c>
      <x:c r="C12" s="8" t="n">
        <x:v>75</x:v>
      </x:c>
      <x:c r="D12" s="17" t="n">
        <x:v>0.0013</x:v>
      </x:c>
      <x:c r="E12" s="18" t="n">
        <x:f aca="0">MIN(1,D12*Rules!$B$22)</x:f>
        <x:v>0.0039</x:v>
      </x:c>
      <x:c r="F12" s="18" t="n">
        <x:f aca="0">MIN(1,D12*Rules!$B$23)</x:f>
        <x:v>0.0104</x:v>
      </x:c>
      <x:c r="G12" s="18" t="n">
        <x:f aca="0">MIN(1,D12*Rules!$B$24)</x:f>
        <x:v>0.13</x:v>
      </x:c>
      <x:c r="H12" s="17" t="n">
        <x:v>0.44</x:v>
      </x:c>
      <x:c r="I12" s="17" t="n">
        <x:v>0.1</x:v>
      </x:c>
      <x:c r="J12" s="18" t="n">
        <x:f aca="0">1-H12-I12</x:f>
        <x:v>0.4600000000000001</x:v>
      </x:c>
      <x:c r="K12" s="8" t="n">
        <x:v>46</x:v>
      </x:c>
      <x:c r="L12" s="8" t="n">
        <x:v>36</x:v>
      </x:c>
      <x:c r="M12" s="8" t="n">
        <x:v>18</x:v>
      </x:c>
      <x:c r="N12" s="19" t="n">
        <x:f aca="0">H12*(1+Rules!$B$20*IF(Q12&gt;1,1,0))+I12*(MIN(3,Q12)*K12+MIN(4,Q12)*L12+MIN(5,Q12)*M12+MIN(6,Q12)*P12)/(K12+L12+M12+P12)</x:f>
        <x:v>0.988</x:v>
      </x:c>
      <x:c r="O12" s="20" t="n">
        <x:f aca="0">COUNTIFS(Affixes!$I$5:$I$104,"&lt;="&amp;A12)</x:f>
        <x:v>96</x:v>
      </x:c>
      <x:c r="P12" s="8" t="n">
        <x:v>0</x:v>
      </x:c>
      <x:c r="Q12" s="8" t="n">
        <x:v>5</x:v>
      </x:c>
      <x:c r="R12" s="33" t="n">
        <x:v>0.4375</x:v>
      </x:c>
    </x:row>
    <x:row r="13" ht="15" hidden="0" customHeight="1">
      <x:c r="A13" s="10" t="n">
        <x:v>9</x:v>
      </x:c>
      <x:c r="B13" s="8" t="n">
        <x:v>76</x:v>
      </x:c>
      <x:c r="C13" s="8" t="n">
        <x:v>90</x:v>
      </x:c>
      <x:c r="D13" s="17" t="n">
        <x:v>0.0014</x:v>
      </x:c>
      <x:c r="E13" s="18" t="n">
        <x:f aca="0">MIN(1,D13*Rules!$B$22)</x:f>
        <x:v>0.0042</x:v>
      </x:c>
      <x:c r="F13" s="18" t="n">
        <x:f aca="0">MIN(1,D13*Rules!$B$23)</x:f>
        <x:v>0.0112</x:v>
      </x:c>
      <x:c r="G13" s="18" t="n">
        <x:f aca="0">MIN(1,D13*Rules!$B$24)</x:f>
        <x:v>0.13999999999999999</x:v>
      </x:c>
      <x:c r="H13" s="17" t="n">
        <x:v>0.46</x:v>
      </x:c>
      <x:c r="I13" s="17" t="n">
        <x:v>0.12</x:v>
      </x:c>
      <x:c r="J13" s="18" t="n">
        <x:f aca="0">1-H13-I13</x:f>
        <x:v>0.42000000000000004</x:v>
      </x:c>
      <x:c r="K13" s="8" t="n">
        <x:v>40</x:v>
      </x:c>
      <x:c r="L13" s="8" t="n">
        <x:v>38</x:v>
      </x:c>
      <x:c r="M13" s="8" t="n">
        <x:v>22</x:v>
      </x:c>
      <x:c r="N13" s="19" t="n">
        <x:f aca="0">H13*(1+Rules!$B$20*IF(Q13&gt;1,1,0))+I13*(MIN(3,Q13)*K13+MIN(4,Q13)*L13+MIN(5,Q13)*M13+MIN(6,Q13)*P13)/(K13+L13+M13+P13)</x:f>
        <x:v>1.1365217391304347</x:v>
      </x:c>
      <x:c r="O13" s="20" t="n">
        <x:f aca="0">COUNTIFS(Affixes!$I$5:$I$104,"&lt;="&amp;A13)</x:f>
        <x:v>100</x:v>
      </x:c>
      <x:c r="P13" s="8" t="n">
        <x:v>15</x:v>
      </x:c>
      <x:c r="Q13" s="8" t="n">
        <x:v>6</x:v>
      </x:c>
      <x:c r="R13" s="33" t="n">
        <x:v>0.5</x:v>
      </x:c>
    </x:row>
    <x:row r="15" ht="15" hidden="0" customHeight="1">
      <x:c r="A15" s="13" t="str">
        <x:v>Higher degrees unlock stronger affix tiers and raise the minimum roll percentile. Blue caps: 1/2/2/3/3/4/4/5/6; normal drops still have zero blues.</x:v>
      </x:c>
    </x:row>
    <x:row r="16" ht="15" hidden="0" customHeight="1">
      <x:c r="A16" s="13" t="s">
        <x:v>519</x:v>
      </x:c>
    </x:row>
  </x:sheetData>
  <x:pageMargins left="0.7" right="0.7" top="0.75" bottom="0.75" header="0.3" footer="0.3"/>
  <x:legacyDrawing xmlns:r="http://schemas.openxmlformats.org/officeDocument/2006/relationships" r:id="Rf5e9aed66005470c"/>
</x:worksheet>
</file>

<file path=xl/worksheets/sheet7.xml><?xml version="1.0" encoding="utf-8"?>
<x:worksheet xmlns:x="http://schemas.openxmlformats.org/spreadsheetml/2006/main">
  <x:sheetViews>
    <x:sheetView showGridLines="1" workbookViewId="0">
      <x:pane xSplit="2" ySplit="4" topLeftCell="C5" activePane="bottomRight" state="frozen"/>
    </x:sheetView>
  </x:sheetViews>
  <x:sheetFormatPr defaultColWidth="8.6796875" defaultRowHeight="15"/>
  <x:cols>
    <x:col min="1" max="1" width="9" style="1" hidden="0" customWidth="1"/>
    <x:col min="2" max="2" width="14" style="1" hidden="0" customWidth="1"/>
    <x:col min="3" max="3" width="8" style="1" hidden="0" customWidth="1"/>
    <x:col min="4" max="4" width="14" style="1" hidden="0" customWidth="1"/>
    <x:col min="5" max="5" width="11" style="1" hidden="0" customWidth="1"/>
    <x:col min="6" max="6" width="16" style="1" hidden="0" customWidth="1"/>
    <x:col min="7" max="7" width="50" style="1" hidden="0" customWidth="1"/>
    <x:col min="8" max="8" width="6" style="1" hidden="0" customWidth="1"/>
    <x:col min="9" max="11" width="8" style="1" hidden="0" customWidth="1"/>
    <x:col min="12" max="12" width="10" style="1" hidden="0" customWidth="1"/>
    <x:col min="13" max="13" width="7" style="1" hidden="0" customWidth="1"/>
    <x:col min="14" max="14" width="10" style="1" hidden="0" customWidth="1"/>
    <x:col min="15" max="15" width="36" style="1" hidden="0" customWidth="1"/>
    <x:col min="16" max="16" width="12" style="1" hidden="0" customWidth="1"/>
    <x:col min="17" max="17" width="7" style="1" hidden="0" customWidth="1"/>
  </x:cols>
  <x:sheetData>
    <x:row r="1" ht="17.25" hidden="0" customHeight="1">
      <x:c r="A1" s="2" t="s">
        <x:v>520</x:v>
      </x:c>
    </x:row>
    <x:row r="2" ht="15" hidden="0" customHeight="1">
      <x:c r="A2" s="3" t="s">
        <x:v>521</x:v>
      </x:c>
    </x:row>
    <x:row r="4" ht="31.5" hidden="0" customHeight="1">
      <x:c r="A4" s="7" t="s">
        <x:v>522</x:v>
      </x:c>
      <x:c r="B4" s="7" t="s">
        <x:v>523</x:v>
      </x:c>
      <x:c r="C4" s="7" t="s">
        <x:v>524</x:v>
      </x:c>
      <x:c r="D4" s="7" t="s">
        <x:v>525</x:v>
      </x:c>
      <x:c r="E4" s="7" t="s">
        <x:v>526</x:v>
      </x:c>
      <x:c r="F4" s="7" t="s">
        <x:v>527</x:v>
      </x:c>
      <x:c r="G4" s="7" t="s">
        <x:v>142</x:v>
      </x:c>
      <x:c r="H4" s="7" t="s">
        <x:v>528</x:v>
      </x:c>
      <x:c r="I4" s="7" t="s">
        <x:v>529</x:v>
      </x:c>
      <x:c r="J4" s="7" t="s">
        <x:v>530</x:v>
      </x:c>
      <x:c r="K4" s="7" t="s">
        <x:v>531</x:v>
      </x:c>
      <x:c r="L4" s="7" t="s">
        <x:v>31</x:v>
      </x:c>
      <x:c r="M4" s="7" t="s">
        <x:v>532</x:v>
      </x:c>
      <x:c r="N4" s="7" t="s">
        <x:v>94</x:v>
      </x:c>
      <x:c r="O4" s="7" t="s">
        <x:v>158</x:v>
      </x:c>
      <x:c r="P4" s="7" t="s">
        <x:v>159</x:v>
      </x:c>
      <x:c r="Q4" s="21" t="s">
        <x:v>533</x:v>
      </x:c>
    </x:row>
    <x:row r="5" ht="15" hidden="0" customHeight="1">
      <x:c r="A5" s="10" t="s">
        <x:v>534</x:v>
      </x:c>
      <x:c r="B5" s="8" t="s">
        <x:v>535</x:v>
      </x:c>
      <x:c r="C5" s="10" t="s">
        <x:v>536</x:v>
      </x:c>
      <x:c r="D5" s="10" t="s">
        <x:v>537</x:v>
      </x:c>
      <x:c r="E5" s="8" t="s">
        <x:v>538</x:v>
      </x:c>
      <x:c r="F5" s="8" t="s">
        <x:v>539</x:v>
      </x:c>
      <x:c r="G5" s="9" t="s">
        <x:v>540</x:v>
      </x:c>
      <x:c r="H5" s="10" t="n">
        <x:v>1</x:v>
      </x:c>
      <x:c r="I5" s="8" t="n">
        <x:v>1</x:v>
      </x:c>
      <x:c r="J5" s="8" t="n">
        <x:v>5</x:v>
      </x:c>
      <x:c r="K5" s="8" t="n">
        <x:v>10</x:v>
      </x:c>
      <x:c r="L5" s="8" t="s">
        <x:v>541</x:v>
      </x:c>
      <x:c r="M5" s="8" t="n">
        <x:v>100</x:v>
      </x:c>
      <x:c r="N5" s="8" t="s">
        <x:v>542</x:v>
      </x:c>
      <x:c r="O5" s="9" t="s">
        <x:v>543</x:v>
      </x:c>
      <x:c r="P5" s="8" t="s">
        <x:v>169</x:v>
      </x:c>
      <x:c r="Q5" s="15" t="n">
        <x:v>1</x:v>
      </x:c>
    </x:row>
    <x:row r="6" ht="15" hidden="0" customHeight="1">
      <x:c r="A6" s="10" t="s">
        <x:v>544</x:v>
      </x:c>
      <x:c r="B6" s="8" t="s">
        <x:v>545</x:v>
      </x:c>
      <x:c r="C6" s="10" t="s">
        <x:v>536</x:v>
      </x:c>
      <x:c r="D6" s="10" t="s">
        <x:v>537</x:v>
      </x:c>
      <x:c r="E6" s="8" t="s">
        <x:v>538</x:v>
      </x:c>
      <x:c r="F6" s="8" t="s">
        <x:v>539</x:v>
      </x:c>
      <x:c r="G6" s="9" t="s">
        <x:v>540</x:v>
      </x:c>
      <x:c r="H6" s="10" t="n">
        <x:v>2</x:v>
      </x:c>
      <x:c r="I6" s="8" t="n">
        <x:v>3</x:v>
      </x:c>
      <x:c r="J6" s="8" t="n">
        <x:v>11</x:v>
      </x:c>
      <x:c r="K6" s="8" t="n">
        <x:v>20</x:v>
      </x:c>
      <x:c r="L6" s="8" t="s">
        <x:v>541</x:v>
      </x:c>
      <x:c r="M6" s="8" t="n">
        <x:v>85</x:v>
      </x:c>
      <x:c r="N6" s="8" t="s">
        <x:v>542</x:v>
      </x:c>
      <x:c r="O6" s="9" t="s">
        <x:v>543</x:v>
      </x:c>
      <x:c r="P6" s="8" t="s">
        <x:v>169</x:v>
      </x:c>
      <x:c r="Q6" s="15" t="n">
        <x:v>2</x:v>
      </x:c>
    </x:row>
    <x:row r="7" ht="15" hidden="0" customHeight="1">
      <x:c r="A7" s="10" t="s">
        <x:v>546</x:v>
      </x:c>
      <x:c r="B7" s="8" t="s">
        <x:v>547</x:v>
      </x:c>
      <x:c r="C7" s="10" t="s">
        <x:v>536</x:v>
      </x:c>
      <x:c r="D7" s="10" t="s">
        <x:v>537</x:v>
      </x:c>
      <x:c r="E7" s="8" t="s">
        <x:v>538</x:v>
      </x:c>
      <x:c r="F7" s="8" t="s">
        <x:v>539</x:v>
      </x:c>
      <x:c r="G7" s="9" t="s">
        <x:v>540</x:v>
      </x:c>
      <x:c r="H7" s="10" t="n">
        <x:v>3</x:v>
      </x:c>
      <x:c r="I7" s="8" t="n">
        <x:v>5</x:v>
      </x:c>
      <x:c r="J7" s="8" t="n">
        <x:v>21</x:v>
      </x:c>
      <x:c r="K7" s="8" t="n">
        <x:v>35</x:v>
      </x:c>
      <x:c r="L7" s="8" t="s">
        <x:v>541</x:v>
      </x:c>
      <x:c r="M7" s="8" t="n">
        <x:v>70</x:v>
      </x:c>
      <x:c r="N7" s="8" t="s">
        <x:v>542</x:v>
      </x:c>
      <x:c r="O7" s="9" t="s">
        <x:v>543</x:v>
      </x:c>
      <x:c r="P7" s="8" t="s">
        <x:v>169</x:v>
      </x:c>
      <x:c r="Q7" s="15" t="n">
        <x:v>3</x:v>
      </x:c>
    </x:row>
    <x:row r="8" ht="15" hidden="0" customHeight="1">
      <x:c r="A8" s="10" t="s">
        <x:v>548</x:v>
      </x:c>
      <x:c r="B8" s="8" t="s">
        <x:v>549</x:v>
      </x:c>
      <x:c r="C8" s="10" t="s">
        <x:v>536</x:v>
      </x:c>
      <x:c r="D8" s="10" t="s">
        <x:v>537</x:v>
      </x:c>
      <x:c r="E8" s="8" t="s">
        <x:v>538</x:v>
      </x:c>
      <x:c r="F8" s="8" t="s">
        <x:v>539</x:v>
      </x:c>
      <x:c r="G8" s="9" t="s">
        <x:v>540</x:v>
      </x:c>
      <x:c r="H8" s="10" t="n">
        <x:v>4</x:v>
      </x:c>
      <x:c r="I8" s="8" t="n">
        <x:v>7</x:v>
      </x:c>
      <x:c r="J8" s="8" t="n">
        <x:v>36</x:v>
      </x:c>
      <x:c r="K8" s="8" t="n">
        <x:v>50</x:v>
      </x:c>
      <x:c r="L8" s="8" t="s">
        <x:v>541</x:v>
      </x:c>
      <x:c r="M8" s="8" t="n">
        <x:v>55</x:v>
      </x:c>
      <x:c r="N8" s="8" t="s">
        <x:v>542</x:v>
      </x:c>
      <x:c r="O8" s="9" t="s">
        <x:v>543</x:v>
      </x:c>
      <x:c r="P8" s="8" t="s">
        <x:v>169</x:v>
      </x:c>
      <x:c r="Q8" s="15" t="n">
        <x:v>4</x:v>
      </x:c>
    </x:row>
    <x:row r="9" ht="15" hidden="0" customHeight="1">
      <x:c r="A9" s="10" t="s">
        <x:v>550</x:v>
      </x:c>
      <x:c r="B9" s="8" t="s">
        <x:v>551</x:v>
      </x:c>
      <x:c r="C9" s="10" t="s">
        <x:v>536</x:v>
      </x:c>
      <x:c r="D9" s="10" t="s">
        <x:v>552</x:v>
      </x:c>
      <x:c r="E9" s="8" t="s">
        <x:v>538</x:v>
      </x:c>
      <x:c r="F9" s="8" t="s">
        <x:v>539</x:v>
      </x:c>
      <x:c r="G9" s="9" t="s">
        <x:v>553</x:v>
      </x:c>
      <x:c r="H9" s="10" t="n">
        <x:v>1</x:v>
      </x:c>
      <x:c r="I9" s="8" t="n">
        <x:v>1</x:v>
      </x:c>
      <x:c r="J9" s="8" t="n">
        <x:v>5</x:v>
      </x:c>
      <x:c r="K9" s="8" t="n">
        <x:v>10</x:v>
      </x:c>
      <x:c r="L9" s="8" t="s">
        <x:v>541</x:v>
      </x:c>
      <x:c r="M9" s="8" t="n">
        <x:v>100</x:v>
      </x:c>
      <x:c r="N9" s="8" t="s">
        <x:v>542</x:v>
      </x:c>
      <x:c r="O9" s="9" t="s">
        <x:v>554</x:v>
      </x:c>
      <x:c r="P9" s="8" t="s">
        <x:v>169</x:v>
      </x:c>
      <x:c r="Q9" s="15" t="n">
        <x:v>5</x:v>
      </x:c>
    </x:row>
    <x:row r="10" ht="15" hidden="0" customHeight="1">
      <x:c r="A10" s="10" t="s">
        <x:v>555</x:v>
      </x:c>
      <x:c r="B10" s="8" t="s">
        <x:v>556</x:v>
      </x:c>
      <x:c r="C10" s="10" t="s">
        <x:v>536</x:v>
      </x:c>
      <x:c r="D10" s="10" t="s">
        <x:v>552</x:v>
      </x:c>
      <x:c r="E10" s="8" t="s">
        <x:v>538</x:v>
      </x:c>
      <x:c r="F10" s="8" t="s">
        <x:v>539</x:v>
      </x:c>
      <x:c r="G10" s="9" t="s">
        <x:v>553</x:v>
      </x:c>
      <x:c r="H10" s="10" t="n">
        <x:v>2</x:v>
      </x:c>
      <x:c r="I10" s="8" t="n">
        <x:v>3</x:v>
      </x:c>
      <x:c r="J10" s="8" t="n">
        <x:v>11</x:v>
      </x:c>
      <x:c r="K10" s="8" t="n">
        <x:v>20</x:v>
      </x:c>
      <x:c r="L10" s="8" t="s">
        <x:v>541</x:v>
      </x:c>
      <x:c r="M10" s="8" t="n">
        <x:v>85</x:v>
      </x:c>
      <x:c r="N10" s="8" t="s">
        <x:v>542</x:v>
      </x:c>
      <x:c r="O10" s="9" t="s">
        <x:v>554</x:v>
      </x:c>
      <x:c r="P10" s="8" t="s">
        <x:v>169</x:v>
      </x:c>
      <x:c r="Q10" s="15" t="n">
        <x:v>6</x:v>
      </x:c>
    </x:row>
    <x:row r="11" ht="15" hidden="0" customHeight="1">
      <x:c r="A11" s="10" t="s">
        <x:v>557</x:v>
      </x:c>
      <x:c r="B11" s="8" t="s">
        <x:v>558</x:v>
      </x:c>
      <x:c r="C11" s="10" t="s">
        <x:v>536</x:v>
      </x:c>
      <x:c r="D11" s="10" t="s">
        <x:v>552</x:v>
      </x:c>
      <x:c r="E11" s="8" t="s">
        <x:v>538</x:v>
      </x:c>
      <x:c r="F11" s="8" t="s">
        <x:v>539</x:v>
      </x:c>
      <x:c r="G11" s="9" t="s">
        <x:v>553</x:v>
      </x:c>
      <x:c r="H11" s="10" t="n">
        <x:v>3</x:v>
      </x:c>
      <x:c r="I11" s="8" t="n">
        <x:v>5</x:v>
      </x:c>
      <x:c r="J11" s="8" t="n">
        <x:v>21</x:v>
      </x:c>
      <x:c r="K11" s="8" t="n">
        <x:v>35</x:v>
      </x:c>
      <x:c r="L11" s="8" t="s">
        <x:v>541</x:v>
      </x:c>
      <x:c r="M11" s="8" t="n">
        <x:v>70</x:v>
      </x:c>
      <x:c r="N11" s="8" t="s">
        <x:v>542</x:v>
      </x:c>
      <x:c r="O11" s="9" t="s">
        <x:v>554</x:v>
      </x:c>
      <x:c r="P11" s="8" t="s">
        <x:v>169</x:v>
      </x:c>
      <x:c r="Q11" s="15" t="n">
        <x:v>7</x:v>
      </x:c>
    </x:row>
    <x:row r="12" ht="15" hidden="0" customHeight="1">
      <x:c r="A12" s="10" t="s">
        <x:v>559</x:v>
      </x:c>
      <x:c r="B12" s="8" t="s">
        <x:v>560</x:v>
      </x:c>
      <x:c r="C12" s="10" t="s">
        <x:v>536</x:v>
      </x:c>
      <x:c r="D12" s="10" t="s">
        <x:v>552</x:v>
      </x:c>
      <x:c r="E12" s="8" t="s">
        <x:v>538</x:v>
      </x:c>
      <x:c r="F12" s="8" t="s">
        <x:v>539</x:v>
      </x:c>
      <x:c r="G12" s="9" t="s">
        <x:v>553</x:v>
      </x:c>
      <x:c r="H12" s="10" t="n">
        <x:v>4</x:v>
      </x:c>
      <x:c r="I12" s="8" t="n">
        <x:v>7</x:v>
      </x:c>
      <x:c r="J12" s="8" t="n">
        <x:v>36</x:v>
      </x:c>
      <x:c r="K12" s="8" t="n">
        <x:v>50</x:v>
      </x:c>
      <x:c r="L12" s="8" t="s">
        <x:v>541</x:v>
      </x:c>
      <x:c r="M12" s="8" t="n">
        <x:v>55</x:v>
      </x:c>
      <x:c r="N12" s="8" t="s">
        <x:v>542</x:v>
      </x:c>
      <x:c r="O12" s="9" t="s">
        <x:v>554</x:v>
      </x:c>
      <x:c r="P12" s="8" t="s">
        <x:v>169</x:v>
      </x:c>
      <x:c r="Q12" s="15" t="n">
        <x:v>8</x:v>
      </x:c>
    </x:row>
    <x:row r="13" ht="15" hidden="0" customHeight="1">
      <x:c r="A13" s="10" t="s">
        <x:v>561</x:v>
      </x:c>
      <x:c r="B13" s="8" t="s">
        <x:v>562</x:v>
      </x:c>
      <x:c r="C13" s="10" t="s">
        <x:v>536</x:v>
      </x:c>
      <x:c r="D13" s="10" t="s">
        <x:v>563</x:v>
      </x:c>
      <x:c r="E13" s="8" t="s">
        <x:v>538</x:v>
      </x:c>
      <x:c r="F13" s="8" t="s">
        <x:v>564</x:v>
      </x:c>
      <x:c r="G13" s="9" t="s">
        <x:v>565</x:v>
      </x:c>
      <x:c r="H13" s="10" t="n">
        <x:v>1</x:v>
      </x:c>
      <x:c r="I13" s="8" t="n">
        <x:v>2</x:v>
      </x:c>
      <x:c r="J13" s="8" t="n">
        <x:v>2</x:v>
      </x:c>
      <x:c r="K13" s="8" t="n">
        <x:v>3</x:v>
      </x:c>
      <x:c r="L13" s="8" t="s">
        <x:v>541</x:v>
      </x:c>
      <x:c r="M13" s="8" t="n">
        <x:v>100</x:v>
      </x:c>
      <x:c r="N13" s="8" t="s">
        <x:v>542</x:v>
      </x:c>
      <x:c r="O13" s="9" t="s">
        <x:v>566</x:v>
      </x:c>
      <x:c r="P13" s="8" t="s">
        <x:v>169</x:v>
      </x:c>
      <x:c r="Q13" s="15" t="n">
        <x:v>9</x:v>
      </x:c>
    </x:row>
    <x:row r="14" ht="15" hidden="0" customHeight="1">
      <x:c r="A14" s="10" t="s">
        <x:v>567</x:v>
      </x:c>
      <x:c r="B14" s="8" t="s">
        <x:v>568</x:v>
      </x:c>
      <x:c r="C14" s="10" t="s">
        <x:v>536</x:v>
      </x:c>
      <x:c r="D14" s="10" t="s">
        <x:v>563</x:v>
      </x:c>
      <x:c r="E14" s="8" t="s">
        <x:v>538</x:v>
      </x:c>
      <x:c r="F14" s="8" t="s">
        <x:v>564</x:v>
      </x:c>
      <x:c r="G14" s="9" t="s">
        <x:v>565</x:v>
      </x:c>
      <x:c r="H14" s="10" t="n">
        <x:v>2</x:v>
      </x:c>
      <x:c r="I14" s="8" t="n">
        <x:v>4</x:v>
      </x:c>
      <x:c r="J14" s="8" t="n">
        <x:v>4</x:v>
      </x:c>
      <x:c r="K14" s="8" t="n">
        <x:v>6</x:v>
      </x:c>
      <x:c r="L14" s="8" t="s">
        <x:v>541</x:v>
      </x:c>
      <x:c r="M14" s="8" t="n">
        <x:v>85</x:v>
      </x:c>
      <x:c r="N14" s="8" t="s">
        <x:v>542</x:v>
      </x:c>
      <x:c r="O14" s="9" t="s">
        <x:v>566</x:v>
      </x:c>
      <x:c r="P14" s="8" t="s">
        <x:v>169</x:v>
      </x:c>
      <x:c r="Q14" s="15" t="n">
        <x:v>10</x:v>
      </x:c>
    </x:row>
    <x:row r="15" ht="15" hidden="0" customHeight="1">
      <x:c r="A15" s="10" t="s">
        <x:v>569</x:v>
      </x:c>
      <x:c r="B15" s="8" t="s">
        <x:v>570</x:v>
      </x:c>
      <x:c r="C15" s="10" t="s">
        <x:v>536</x:v>
      </x:c>
      <x:c r="D15" s="10" t="s">
        <x:v>563</x:v>
      </x:c>
      <x:c r="E15" s="8" t="s">
        <x:v>538</x:v>
      </x:c>
      <x:c r="F15" s="8" t="s">
        <x:v>564</x:v>
      </x:c>
      <x:c r="G15" s="9" t="s">
        <x:v>565</x:v>
      </x:c>
      <x:c r="H15" s="10" t="n">
        <x:v>3</x:v>
      </x:c>
      <x:c r="I15" s="8" t="n">
        <x:v>6</x:v>
      </x:c>
      <x:c r="J15" s="8" t="n">
        <x:v>7</x:v>
      </x:c>
      <x:c r="K15" s="8" t="n">
        <x:v>9</x:v>
      </x:c>
      <x:c r="L15" s="8" t="s">
        <x:v>541</x:v>
      </x:c>
      <x:c r="M15" s="8" t="n">
        <x:v>70</x:v>
      </x:c>
      <x:c r="N15" s="8" t="s">
        <x:v>542</x:v>
      </x:c>
      <x:c r="O15" s="9" t="s">
        <x:v>566</x:v>
      </x:c>
      <x:c r="P15" s="8" t="s">
        <x:v>169</x:v>
      </x:c>
      <x:c r="Q15" s="15" t="n">
        <x:v>11</x:v>
      </x:c>
    </x:row>
    <x:row r="16" ht="15" hidden="0" customHeight="1">
      <x:c r="A16" s="10" t="s">
        <x:v>571</x:v>
      </x:c>
      <x:c r="B16" s="8" t="s">
        <x:v>572</x:v>
      </x:c>
      <x:c r="C16" s="10" t="s">
        <x:v>536</x:v>
      </x:c>
      <x:c r="D16" s="10" t="s">
        <x:v>573</x:v>
      </x:c>
      <x:c r="E16" s="8" t="s">
        <x:v>538</x:v>
      </x:c>
      <x:c r="F16" s="8" t="s">
        <x:v>574</x:v>
      </x:c>
      <x:c r="G16" s="9" t="s">
        <x:v>575</x:v>
      </x:c>
      <x:c r="H16" s="10" t="n">
        <x:v>1</x:v>
      </x:c>
      <x:c r="I16" s="8" t="n">
        <x:v>1</x:v>
      </x:c>
      <x:c r="J16" s="8" t="n">
        <x:v>3</x:v>
      </x:c>
      <x:c r="K16" s="8" t="n">
        <x:v>6</x:v>
      </x:c>
      <x:c r="L16" s="8" t="s">
        <x:v>576</x:v>
      </x:c>
      <x:c r="M16" s="8" t="n">
        <x:v>100</x:v>
      </x:c>
      <x:c r="N16" s="8" t="s">
        <x:v>542</x:v>
      </x:c>
      <x:c r="O16" s="9" t="s">
        <x:v>577</x:v>
      </x:c>
      <x:c r="P16" s="8" t="s">
        <x:v>169</x:v>
      </x:c>
      <x:c r="Q16" s="15" t="n">
        <x:v>12</x:v>
      </x:c>
    </x:row>
    <x:row r="17" ht="15" hidden="0" customHeight="1">
      <x:c r="A17" s="10" t="s">
        <x:v>578</x:v>
      </x:c>
      <x:c r="B17" s="8" t="s">
        <x:v>579</x:v>
      </x:c>
      <x:c r="C17" s="10" t="s">
        <x:v>536</x:v>
      </x:c>
      <x:c r="D17" s="10" t="s">
        <x:v>573</x:v>
      </x:c>
      <x:c r="E17" s="8" t="s">
        <x:v>538</x:v>
      </x:c>
      <x:c r="F17" s="8" t="s">
        <x:v>574</x:v>
      </x:c>
      <x:c r="G17" s="9" t="s">
        <x:v>575</x:v>
      </x:c>
      <x:c r="H17" s="10" t="n">
        <x:v>2</x:v>
      </x:c>
      <x:c r="I17" s="8" t="n">
        <x:v>3</x:v>
      </x:c>
      <x:c r="J17" s="8" t="n">
        <x:v>8</x:v>
      </x:c>
      <x:c r="K17" s="8" t="n">
        <x:v>15</x:v>
      </x:c>
      <x:c r="L17" s="8" t="s">
        <x:v>576</x:v>
      </x:c>
      <x:c r="M17" s="8" t="n">
        <x:v>85</x:v>
      </x:c>
      <x:c r="N17" s="8" t="s">
        <x:v>542</x:v>
      </x:c>
      <x:c r="O17" s="9" t="s">
        <x:v>577</x:v>
      </x:c>
      <x:c r="P17" s="8" t="s">
        <x:v>169</x:v>
      </x:c>
      <x:c r="Q17" s="15" t="n">
        <x:v>13</x:v>
      </x:c>
    </x:row>
    <x:row r="18" ht="15" hidden="0" customHeight="1">
      <x:c r="A18" s="10" t="s">
        <x:v>580</x:v>
      </x:c>
      <x:c r="B18" s="8" t="s">
        <x:v>581</x:v>
      </x:c>
      <x:c r="C18" s="10" t="s">
        <x:v>536</x:v>
      </x:c>
      <x:c r="D18" s="10" t="s">
        <x:v>573</x:v>
      </x:c>
      <x:c r="E18" s="8" t="s">
        <x:v>538</x:v>
      </x:c>
      <x:c r="F18" s="8" t="s">
        <x:v>574</x:v>
      </x:c>
      <x:c r="G18" s="9" t="s">
        <x:v>575</x:v>
      </x:c>
      <x:c r="H18" s="10" t="n">
        <x:v>3</x:v>
      </x:c>
      <x:c r="I18" s="8" t="n">
        <x:v>5</x:v>
      </x:c>
      <x:c r="J18" s="8" t="n">
        <x:v>18</x:v>
      </x:c>
      <x:c r="K18" s="8" t="n">
        <x:v>30</x:v>
      </x:c>
      <x:c r="L18" s="8" t="s">
        <x:v>576</x:v>
      </x:c>
      <x:c r="M18" s="8" t="n">
        <x:v>70</x:v>
      </x:c>
      <x:c r="N18" s="8" t="s">
        <x:v>542</x:v>
      </x:c>
      <x:c r="O18" s="9" t="s">
        <x:v>577</x:v>
      </x:c>
      <x:c r="P18" s="8" t="s">
        <x:v>169</x:v>
      </x:c>
      <x:c r="Q18" s="15" t="n">
        <x:v>14</x:v>
      </x:c>
    </x:row>
    <x:row r="19" ht="15" hidden="0" customHeight="1">
      <x:c r="A19" s="10" t="s">
        <x:v>582</x:v>
      </x:c>
      <x:c r="B19" s="8" t="s">
        <x:v>583</x:v>
      </x:c>
      <x:c r="C19" s="10" t="s">
        <x:v>536</x:v>
      </x:c>
      <x:c r="D19" s="10" t="s">
        <x:v>573</x:v>
      </x:c>
      <x:c r="E19" s="8" t="s">
        <x:v>538</x:v>
      </x:c>
      <x:c r="F19" s="8" t="s">
        <x:v>574</x:v>
      </x:c>
      <x:c r="G19" s="9" t="s">
        <x:v>575</x:v>
      </x:c>
      <x:c r="H19" s="10" t="n">
        <x:v>4</x:v>
      </x:c>
      <x:c r="I19" s="8" t="n">
        <x:v>7</x:v>
      </x:c>
      <x:c r="J19" s="8" t="n">
        <x:v>35</x:v>
      </x:c>
      <x:c r="K19" s="8" t="n">
        <x:v>55</x:v>
      </x:c>
      <x:c r="L19" s="8" t="s">
        <x:v>576</x:v>
      </x:c>
      <x:c r="M19" s="8" t="n">
        <x:v>55</x:v>
      </x:c>
      <x:c r="N19" s="8" t="s">
        <x:v>542</x:v>
      </x:c>
      <x:c r="O19" s="9" t="s">
        <x:v>577</x:v>
      </x:c>
      <x:c r="P19" s="8" t="s">
        <x:v>169</x:v>
      </x:c>
      <x:c r="Q19" s="15" t="n">
        <x:v>15</x:v>
      </x:c>
    </x:row>
    <x:row r="20" ht="15" hidden="0" customHeight="1">
      <x:c r="A20" s="10" t="s">
        <x:v>584</x:v>
      </x:c>
      <x:c r="B20" s="8" t="s">
        <x:v>585</x:v>
      </x:c>
      <x:c r="C20" s="10" t="s">
        <x:v>536</x:v>
      </x:c>
      <x:c r="D20" s="10" t="s">
        <x:v>586</x:v>
      </x:c>
      <x:c r="E20" s="8" t="s">
        <x:v>538</x:v>
      </x:c>
      <x:c r="F20" s="8" t="s">
        <x:v>574</x:v>
      </x:c>
      <x:c r="G20" s="9" t="s">
        <x:v>587</x:v>
      </x:c>
      <x:c r="H20" s="10" t="n">
        <x:v>1</x:v>
      </x:c>
      <x:c r="I20" s="8" t="n">
        <x:v>1</x:v>
      </x:c>
      <x:c r="J20" s="8" t="n">
        <x:v>3</x:v>
      </x:c>
      <x:c r="K20" s="8" t="n">
        <x:v>6</x:v>
      </x:c>
      <x:c r="L20" s="8" t="s">
        <x:v>576</x:v>
      </x:c>
      <x:c r="M20" s="8" t="n">
        <x:v>100</x:v>
      </x:c>
      <x:c r="N20" s="8" t="s">
        <x:v>542</x:v>
      </x:c>
      <x:c r="O20" s="9" t="s">
        <x:v>588</x:v>
      </x:c>
      <x:c r="P20" s="8" t="s">
        <x:v>169</x:v>
      </x:c>
      <x:c r="Q20" s="15" t="n">
        <x:v>16</x:v>
      </x:c>
    </x:row>
    <x:row r="21" ht="15" hidden="0" customHeight="1">
      <x:c r="A21" s="10" t="s">
        <x:v>589</x:v>
      </x:c>
      <x:c r="B21" s="8" t="s">
        <x:v>590</x:v>
      </x:c>
      <x:c r="C21" s="10" t="s">
        <x:v>536</x:v>
      </x:c>
      <x:c r="D21" s="10" t="s">
        <x:v>586</x:v>
      </x:c>
      <x:c r="E21" s="8" t="s">
        <x:v>538</x:v>
      </x:c>
      <x:c r="F21" s="8" t="s">
        <x:v>574</x:v>
      </x:c>
      <x:c r="G21" s="9" t="s">
        <x:v>587</x:v>
      </x:c>
      <x:c r="H21" s="10" t="n">
        <x:v>2</x:v>
      </x:c>
      <x:c r="I21" s="8" t="n">
        <x:v>3</x:v>
      </x:c>
      <x:c r="J21" s="8" t="n">
        <x:v>8</x:v>
      </x:c>
      <x:c r="K21" s="8" t="n">
        <x:v>15</x:v>
      </x:c>
      <x:c r="L21" s="8" t="s">
        <x:v>576</x:v>
      </x:c>
      <x:c r="M21" s="8" t="n">
        <x:v>85</x:v>
      </x:c>
      <x:c r="N21" s="8" t="s">
        <x:v>542</x:v>
      </x:c>
      <x:c r="O21" s="9" t="s">
        <x:v>588</x:v>
      </x:c>
      <x:c r="P21" s="8" t="s">
        <x:v>169</x:v>
      </x:c>
      <x:c r="Q21" s="15" t="n">
        <x:v>17</x:v>
      </x:c>
    </x:row>
    <x:row r="22" ht="15" hidden="0" customHeight="1">
      <x:c r="A22" s="10" t="s">
        <x:v>591</x:v>
      </x:c>
      <x:c r="B22" s="8" t="s">
        <x:v>592</x:v>
      </x:c>
      <x:c r="C22" s="10" t="s">
        <x:v>536</x:v>
      </x:c>
      <x:c r="D22" s="10" t="s">
        <x:v>586</x:v>
      </x:c>
      <x:c r="E22" s="8" t="s">
        <x:v>538</x:v>
      </x:c>
      <x:c r="F22" s="8" t="s">
        <x:v>574</x:v>
      </x:c>
      <x:c r="G22" s="9" t="s">
        <x:v>587</x:v>
      </x:c>
      <x:c r="H22" s="10" t="n">
        <x:v>3</x:v>
      </x:c>
      <x:c r="I22" s="8" t="n">
        <x:v>5</x:v>
      </x:c>
      <x:c r="J22" s="8" t="n">
        <x:v>18</x:v>
      </x:c>
      <x:c r="K22" s="8" t="n">
        <x:v>30</x:v>
      </x:c>
      <x:c r="L22" s="8" t="s">
        <x:v>576</x:v>
      </x:c>
      <x:c r="M22" s="8" t="n">
        <x:v>70</x:v>
      </x:c>
      <x:c r="N22" s="8" t="s">
        <x:v>542</x:v>
      </x:c>
      <x:c r="O22" s="9" t="s">
        <x:v>588</x:v>
      </x:c>
      <x:c r="P22" s="8" t="s">
        <x:v>169</x:v>
      </x:c>
      <x:c r="Q22" s="15" t="n">
        <x:v>18</x:v>
      </x:c>
    </x:row>
    <x:row r="23" ht="15" hidden="0" customHeight="1">
      <x:c r="A23" s="10" t="s">
        <x:v>593</x:v>
      </x:c>
      <x:c r="B23" s="8" t="s">
        <x:v>594</x:v>
      </x:c>
      <x:c r="C23" s="10" t="s">
        <x:v>536</x:v>
      </x:c>
      <x:c r="D23" s="10" t="s">
        <x:v>586</x:v>
      </x:c>
      <x:c r="E23" s="8" t="s">
        <x:v>538</x:v>
      </x:c>
      <x:c r="F23" s="8" t="s">
        <x:v>574</x:v>
      </x:c>
      <x:c r="G23" s="9" t="s">
        <x:v>587</x:v>
      </x:c>
      <x:c r="H23" s="10" t="n">
        <x:v>4</x:v>
      </x:c>
      <x:c r="I23" s="8" t="n">
        <x:v>7</x:v>
      </x:c>
      <x:c r="J23" s="8" t="n">
        <x:v>35</x:v>
      </x:c>
      <x:c r="K23" s="8" t="n">
        <x:v>55</x:v>
      </x:c>
      <x:c r="L23" s="8" t="s">
        <x:v>576</x:v>
      </x:c>
      <x:c r="M23" s="8" t="n">
        <x:v>55</x:v>
      </x:c>
      <x:c r="N23" s="8" t="s">
        <x:v>542</x:v>
      </x:c>
      <x:c r="O23" s="9" t="s">
        <x:v>588</x:v>
      </x:c>
      <x:c r="P23" s="8" t="s">
        <x:v>169</x:v>
      </x:c>
      <x:c r="Q23" s="15" t="n">
        <x:v>19</x:v>
      </x:c>
    </x:row>
    <x:row r="24" ht="15" hidden="0" customHeight="1">
      <x:c r="A24" s="10" t="s">
        <x:v>595</x:v>
      </x:c>
      <x:c r="B24" s="8" t="s">
        <x:v>596</x:v>
      </x:c>
      <x:c r="C24" s="10" t="s">
        <x:v>536</x:v>
      </x:c>
      <x:c r="D24" s="10" t="s">
        <x:v>597</x:v>
      </x:c>
      <x:c r="E24" s="8" t="s">
        <x:v>538</x:v>
      </x:c>
      <x:c r="F24" s="8" t="s">
        <x:v>574</x:v>
      </x:c>
      <x:c r="G24" s="9" t="s">
        <x:v>598</x:v>
      </x:c>
      <x:c r="H24" s="10" t="n">
        <x:v>1</x:v>
      </x:c>
      <x:c r="I24" s="8" t="n">
        <x:v>1</x:v>
      </x:c>
      <x:c r="J24" s="8" t="n">
        <x:v>6</x:v>
      </x:c>
      <x:c r="K24" s="8" t="n">
        <x:v>12</x:v>
      </x:c>
      <x:c r="L24" s="8" t="s">
        <x:v>576</x:v>
      </x:c>
      <x:c r="M24" s="8" t="n">
        <x:v>100</x:v>
      </x:c>
      <x:c r="N24" s="8" t="s">
        <x:v>542</x:v>
      </x:c>
      <x:c r="O24" s="9" t="s">
        <x:v>599</x:v>
      </x:c>
      <x:c r="P24" s="8" t="s">
        <x:v>169</x:v>
      </x:c>
      <x:c r="Q24" s="15" t="n">
        <x:v>20</x:v>
      </x:c>
    </x:row>
    <x:row r="25" ht="15" hidden="0" customHeight="1">
      <x:c r="A25" s="10" t="s">
        <x:v>600</x:v>
      </x:c>
      <x:c r="B25" s="8" t="s">
        <x:v>601</x:v>
      </x:c>
      <x:c r="C25" s="10" t="s">
        <x:v>536</x:v>
      </x:c>
      <x:c r="D25" s="10" t="s">
        <x:v>597</x:v>
      </x:c>
      <x:c r="E25" s="8" t="s">
        <x:v>538</x:v>
      </x:c>
      <x:c r="F25" s="8" t="s">
        <x:v>574</x:v>
      </x:c>
      <x:c r="G25" s="9" t="s">
        <x:v>598</x:v>
      </x:c>
      <x:c r="H25" s="10" t="n">
        <x:v>2</x:v>
      </x:c>
      <x:c r="I25" s="8" t="n">
        <x:v>3</x:v>
      </x:c>
      <x:c r="J25" s="8" t="n">
        <x:v>16</x:v>
      </x:c>
      <x:c r="K25" s="8" t="n">
        <x:v>30</x:v>
      </x:c>
      <x:c r="L25" s="8" t="s">
        <x:v>576</x:v>
      </x:c>
      <x:c r="M25" s="8" t="n">
        <x:v>85</x:v>
      </x:c>
      <x:c r="N25" s="8" t="s">
        <x:v>542</x:v>
      </x:c>
      <x:c r="O25" s="9" t="s">
        <x:v>599</x:v>
      </x:c>
      <x:c r="P25" s="8" t="s">
        <x:v>169</x:v>
      </x:c>
      <x:c r="Q25" s="15" t="n">
        <x:v>21</x:v>
      </x:c>
    </x:row>
    <x:row r="26" ht="15" hidden="0" customHeight="1">
      <x:c r="A26" s="10" t="s">
        <x:v>602</x:v>
      </x:c>
      <x:c r="B26" s="8" t="s">
        <x:v>603</x:v>
      </x:c>
      <x:c r="C26" s="10" t="s">
        <x:v>536</x:v>
      </x:c>
      <x:c r="D26" s="10" t="s">
        <x:v>597</x:v>
      </x:c>
      <x:c r="E26" s="8" t="s">
        <x:v>538</x:v>
      </x:c>
      <x:c r="F26" s="8" t="s">
        <x:v>574</x:v>
      </x:c>
      <x:c r="G26" s="9" t="s">
        <x:v>598</x:v>
      </x:c>
      <x:c r="H26" s="10" t="n">
        <x:v>3</x:v>
      </x:c>
      <x:c r="I26" s="8" t="n">
        <x:v>5</x:v>
      </x:c>
      <x:c r="J26" s="8" t="n">
        <x:v>36</x:v>
      </x:c>
      <x:c r="K26" s="8" t="n">
        <x:v>60</x:v>
      </x:c>
      <x:c r="L26" s="8" t="s">
        <x:v>576</x:v>
      </x:c>
      <x:c r="M26" s="8" t="n">
        <x:v>70</x:v>
      </x:c>
      <x:c r="N26" s="8" t="s">
        <x:v>542</x:v>
      </x:c>
      <x:c r="O26" s="9" t="s">
        <x:v>599</x:v>
      </x:c>
      <x:c r="P26" s="8" t="s">
        <x:v>169</x:v>
      </x:c>
      <x:c r="Q26" s="15" t="n">
        <x:v>22</x:v>
      </x:c>
    </x:row>
    <x:row r="27" ht="15" hidden="0" customHeight="1">
      <x:c r="A27" s="10" t="s">
        <x:v>604</x:v>
      </x:c>
      <x:c r="B27" s="8" t="s">
        <x:v>605</x:v>
      </x:c>
      <x:c r="C27" s="10" t="s">
        <x:v>536</x:v>
      </x:c>
      <x:c r="D27" s="10" t="s">
        <x:v>597</x:v>
      </x:c>
      <x:c r="E27" s="8" t="s">
        <x:v>538</x:v>
      </x:c>
      <x:c r="F27" s="8" t="s">
        <x:v>574</x:v>
      </x:c>
      <x:c r="G27" s="9" t="s">
        <x:v>598</x:v>
      </x:c>
      <x:c r="H27" s="10" t="n">
        <x:v>4</x:v>
      </x:c>
      <x:c r="I27" s="8" t="n">
        <x:v>7</x:v>
      </x:c>
      <x:c r="J27" s="8" t="n">
        <x:v>70</x:v>
      </x:c>
      <x:c r="K27" s="8" t="n">
        <x:v>110</x:v>
      </x:c>
      <x:c r="L27" s="8" t="s">
        <x:v>576</x:v>
      </x:c>
      <x:c r="M27" s="8" t="n">
        <x:v>55</x:v>
      </x:c>
      <x:c r="N27" s="8" t="s">
        <x:v>542</x:v>
      </x:c>
      <x:c r="O27" s="9" t="s">
        <x:v>599</x:v>
      </x:c>
      <x:c r="P27" s="8" t="s">
        <x:v>169</x:v>
      </x:c>
      <x:c r="Q27" s="15" t="n">
        <x:v>23</x:v>
      </x:c>
    </x:row>
    <x:row r="28" ht="15" hidden="0" customHeight="1">
      <x:c r="A28" s="10" t="s">
        <x:v>606</x:v>
      </x:c>
      <x:c r="B28" s="8" t="s">
        <x:v>607</x:v>
      </x:c>
      <x:c r="C28" s="10" t="s">
        <x:v>536</x:v>
      </x:c>
      <x:c r="D28" s="10" t="s">
        <x:v>608</x:v>
      </x:c>
      <x:c r="E28" s="8" t="s">
        <x:v>538</x:v>
      </x:c>
      <x:c r="F28" s="8" t="s">
        <x:v>574</x:v>
      </x:c>
      <x:c r="G28" s="9" t="s">
        <x:v>609</x:v>
      </x:c>
      <x:c r="H28" s="10" t="n">
        <x:v>1</x:v>
      </x:c>
      <x:c r="I28" s="8" t="n">
        <x:v>1</x:v>
      </x:c>
      <x:c r="J28" s="8" t="n">
        <x:v>8</x:v>
      </x:c>
      <x:c r="K28" s="8" t="n">
        <x:v>14</x:v>
      </x:c>
      <x:c r="L28" s="8" t="s">
        <x:v>576</x:v>
      </x:c>
      <x:c r="M28" s="8" t="n">
        <x:v>100</x:v>
      </x:c>
      <x:c r="N28" s="8" t="s">
        <x:v>542</x:v>
      </x:c>
      <x:c r="O28" s="9" t="s">
        <x:v>610</x:v>
      </x:c>
      <x:c r="P28" s="8" t="s">
        <x:v>169</x:v>
      </x:c>
      <x:c r="Q28" s="15" t="n">
        <x:v>24</x:v>
      </x:c>
    </x:row>
    <x:row r="29" ht="15" hidden="0" customHeight="1">
      <x:c r="A29" s="10" t="s">
        <x:v>611</x:v>
      </x:c>
      <x:c r="B29" s="8" t="s">
        <x:v>612</x:v>
      </x:c>
      <x:c r="C29" s="10" t="s">
        <x:v>536</x:v>
      </x:c>
      <x:c r="D29" s="10" t="s">
        <x:v>608</x:v>
      </x:c>
      <x:c r="E29" s="8" t="s">
        <x:v>538</x:v>
      </x:c>
      <x:c r="F29" s="8" t="s">
        <x:v>574</x:v>
      </x:c>
      <x:c r="G29" s="9" t="s">
        <x:v>609</x:v>
      </x:c>
      <x:c r="H29" s="10" t="n">
        <x:v>2</x:v>
      </x:c>
      <x:c r="I29" s="8" t="n">
        <x:v>3</x:v>
      </x:c>
      <x:c r="J29" s="8" t="n">
        <x:v>20</x:v>
      </x:c>
      <x:c r="K29" s="8" t="n">
        <x:v>35</x:v>
      </x:c>
      <x:c r="L29" s="8" t="s">
        <x:v>576</x:v>
      </x:c>
      <x:c r="M29" s="8" t="n">
        <x:v>85</x:v>
      </x:c>
      <x:c r="N29" s="8" t="s">
        <x:v>542</x:v>
      </x:c>
      <x:c r="O29" s="9" t="s">
        <x:v>610</x:v>
      </x:c>
      <x:c r="P29" s="8" t="s">
        <x:v>169</x:v>
      </x:c>
      <x:c r="Q29" s="15" t="n">
        <x:v>25</x:v>
      </x:c>
    </x:row>
    <x:row r="30" ht="15" hidden="0" customHeight="1">
      <x:c r="A30" s="10" t="s">
        <x:v>613</x:v>
      </x:c>
      <x:c r="B30" s="8" t="s">
        <x:v>614</x:v>
      </x:c>
      <x:c r="C30" s="10" t="s">
        <x:v>536</x:v>
      </x:c>
      <x:c r="D30" s="10" t="s">
        <x:v>608</x:v>
      </x:c>
      <x:c r="E30" s="8" t="s">
        <x:v>538</x:v>
      </x:c>
      <x:c r="F30" s="8" t="s">
        <x:v>574</x:v>
      </x:c>
      <x:c r="G30" s="9" t="s">
        <x:v>609</x:v>
      </x:c>
      <x:c r="H30" s="10" t="n">
        <x:v>3</x:v>
      </x:c>
      <x:c r="I30" s="8" t="n">
        <x:v>5</x:v>
      </x:c>
      <x:c r="J30" s="8" t="n">
        <x:v>45</x:v>
      </x:c>
      <x:c r="K30" s="8" t="n">
        <x:v>70</x:v>
      </x:c>
      <x:c r="L30" s="8" t="s">
        <x:v>576</x:v>
      </x:c>
      <x:c r="M30" s="8" t="n">
        <x:v>70</x:v>
      </x:c>
      <x:c r="N30" s="8" t="s">
        <x:v>542</x:v>
      </x:c>
      <x:c r="O30" s="9" t="s">
        <x:v>610</x:v>
      </x:c>
      <x:c r="P30" s="8" t="s">
        <x:v>169</x:v>
      </x:c>
      <x:c r="Q30" s="15" t="n">
        <x:v>26</x:v>
      </x:c>
    </x:row>
    <x:row r="31" ht="15" hidden="0" customHeight="1">
      <x:c r="A31" s="10" t="s">
        <x:v>615</x:v>
      </x:c>
      <x:c r="B31" s="8" t="s">
        <x:v>616</x:v>
      </x:c>
      <x:c r="C31" s="10" t="s">
        <x:v>536</x:v>
      </x:c>
      <x:c r="D31" s="10" t="s">
        <x:v>608</x:v>
      </x:c>
      <x:c r="E31" s="8" t="s">
        <x:v>538</x:v>
      </x:c>
      <x:c r="F31" s="8" t="s">
        <x:v>574</x:v>
      </x:c>
      <x:c r="G31" s="9" t="s">
        <x:v>609</x:v>
      </x:c>
      <x:c r="H31" s="10" t="n">
        <x:v>4</x:v>
      </x:c>
      <x:c r="I31" s="8" t="n">
        <x:v>7</x:v>
      </x:c>
      <x:c r="J31" s="8" t="n">
        <x:v>90</x:v>
      </x:c>
      <x:c r="K31" s="8" t="n">
        <x:v>130</x:v>
      </x:c>
      <x:c r="L31" s="8" t="s">
        <x:v>576</x:v>
      </x:c>
      <x:c r="M31" s="8" t="n">
        <x:v>55</x:v>
      </x:c>
      <x:c r="N31" s="8" t="s">
        <x:v>542</x:v>
      </x:c>
      <x:c r="O31" s="9" t="s">
        <x:v>610</x:v>
      </x:c>
      <x:c r="P31" s="8" t="s">
        <x:v>169</x:v>
      </x:c>
      <x:c r="Q31" s="15" t="n">
        <x:v>27</x:v>
      </x:c>
    </x:row>
    <x:row r="32" ht="15" hidden="0" customHeight="1">
      <x:c r="A32" s="10" t="s">
        <x:v>617</x:v>
      </x:c>
      <x:c r="B32" s="8" t="s">
        <x:v>618</x:v>
      </x:c>
      <x:c r="C32" s="10" t="s">
        <x:v>536</x:v>
      </x:c>
      <x:c r="D32" s="10" t="s">
        <x:v>619</x:v>
      </x:c>
      <x:c r="E32" s="8" t="s">
        <x:v>538</x:v>
      </x:c>
      <x:c r="F32" s="8" t="s">
        <x:v>574</x:v>
      </x:c>
      <x:c r="G32" s="9" t="s">
        <x:v>620</x:v>
      </x:c>
      <x:c r="H32" s="10" t="n">
        <x:v>1</x:v>
      </x:c>
      <x:c r="I32" s="8" t="n">
        <x:v>2</x:v>
      </x:c>
      <x:c r="J32" s="8" t="n">
        <x:v>2</x:v>
      </x:c>
      <x:c r="K32" s="8" t="n">
        <x:v>3</x:v>
      </x:c>
      <x:c r="L32" s="8" t="s">
        <x:v>541</x:v>
      </x:c>
      <x:c r="M32" s="8" t="n">
        <x:v>100</x:v>
      </x:c>
      <x:c r="N32" s="8" t="s">
        <x:v>542</x:v>
      </x:c>
      <x:c r="O32" s="9" t="s">
        <x:v>621</x:v>
      </x:c>
      <x:c r="P32" s="8" t="s">
        <x:v>169</x:v>
      </x:c>
      <x:c r="Q32" s="15" t="n">
        <x:v>28</x:v>
      </x:c>
    </x:row>
    <x:row r="33" ht="15" hidden="0" customHeight="1">
      <x:c r="A33" s="10" t="s">
        <x:v>622</x:v>
      </x:c>
      <x:c r="B33" s="8" t="s">
        <x:v>623</x:v>
      </x:c>
      <x:c r="C33" s="10" t="s">
        <x:v>536</x:v>
      </x:c>
      <x:c r="D33" s="10" t="s">
        <x:v>619</x:v>
      </x:c>
      <x:c r="E33" s="8" t="s">
        <x:v>538</x:v>
      </x:c>
      <x:c r="F33" s="8" t="s">
        <x:v>574</x:v>
      </x:c>
      <x:c r="G33" s="9" t="s">
        <x:v>620</x:v>
      </x:c>
      <x:c r="H33" s="10" t="n">
        <x:v>2</x:v>
      </x:c>
      <x:c r="I33" s="8" t="n">
        <x:v>5</x:v>
      </x:c>
      <x:c r="J33" s="8" t="n">
        <x:v>4</x:v>
      </x:c>
      <x:c r="K33" s="8" t="n">
        <x:v>6</x:v>
      </x:c>
      <x:c r="L33" s="8" t="s">
        <x:v>541</x:v>
      </x:c>
      <x:c r="M33" s="8" t="n">
        <x:v>85</x:v>
      </x:c>
      <x:c r="N33" s="8" t="s">
        <x:v>542</x:v>
      </x:c>
      <x:c r="O33" s="9" t="s">
        <x:v>621</x:v>
      </x:c>
      <x:c r="P33" s="8" t="s">
        <x:v>169</x:v>
      </x:c>
      <x:c r="Q33" s="15" t="n">
        <x:v>29</x:v>
      </x:c>
    </x:row>
    <x:row r="34" ht="15" hidden="0" customHeight="1">
      <x:c r="A34" s="10" t="s">
        <x:v>624</x:v>
      </x:c>
      <x:c r="B34" s="8" t="s">
        <x:v>625</x:v>
      </x:c>
      <x:c r="C34" s="10" t="s">
        <x:v>536</x:v>
      </x:c>
      <x:c r="D34" s="10" t="s">
        <x:v>619</x:v>
      </x:c>
      <x:c r="E34" s="8" t="s">
        <x:v>538</x:v>
      </x:c>
      <x:c r="F34" s="8" t="s">
        <x:v>574</x:v>
      </x:c>
      <x:c r="G34" s="9" t="s">
        <x:v>620</x:v>
      </x:c>
      <x:c r="H34" s="10" t="n">
        <x:v>3</x:v>
      </x:c>
      <x:c r="I34" s="8" t="n">
        <x:v>8</x:v>
      </x:c>
      <x:c r="J34" s="8" t="n">
        <x:v>7</x:v>
      </x:c>
      <x:c r="K34" s="8" t="n">
        <x:v>9</x:v>
      </x:c>
      <x:c r="L34" s="8" t="s">
        <x:v>541</x:v>
      </x:c>
      <x:c r="M34" s="8" t="n">
        <x:v>70</x:v>
      </x:c>
      <x:c r="N34" s="8" t="s">
        <x:v>542</x:v>
      </x:c>
      <x:c r="O34" s="9" t="s">
        <x:v>621</x:v>
      </x:c>
      <x:c r="P34" s="8" t="s">
        <x:v>169</x:v>
      </x:c>
      <x:c r="Q34" s="15" t="n">
        <x:v>30</x:v>
      </x:c>
    </x:row>
    <x:row r="35" ht="23.25" hidden="0" customHeight="1">
      <x:c r="A35" s="10" t="s">
        <x:v>626</x:v>
      </x:c>
      <x:c r="B35" s="8" t="s">
        <x:v>627</x:v>
      </x:c>
      <x:c r="C35" s="10" t="s">
        <x:v>536</x:v>
      </x:c>
      <x:c r="D35" s="10" t="s">
        <x:v>628</x:v>
      </x:c>
      <x:c r="E35" s="8" t="s">
        <x:v>538</x:v>
      </x:c>
      <x:c r="F35" s="8" t="s">
        <x:v>564</x:v>
      </x:c>
      <x:c r="G35" s="9" t="s">
        <x:v>629</x:v>
      </x:c>
      <x:c r="H35" s="10" t="n">
        <x:v>1</x:v>
      </x:c>
      <x:c r="I35" s="8" t="n">
        <x:v>4</x:v>
      </x:c>
      <x:c r="J35" s="8" t="n">
        <x:v>3</x:v>
      </x:c>
      <x:c r="K35" s="8" t="n">
        <x:v>5</x:v>
      </x:c>
      <x:c r="L35" s="8" t="s">
        <x:v>541</x:v>
      </x:c>
      <x:c r="M35" s="8" t="n">
        <x:v>100</x:v>
      </x:c>
      <x:c r="N35" s="8" t="s">
        <x:v>542</x:v>
      </x:c>
      <x:c r="O35" s="9" t="s">
        <x:v>630</x:v>
      </x:c>
      <x:c r="P35" s="8" t="s">
        <x:v>169</x:v>
      </x:c>
      <x:c r="Q35" s="15" t="n">
        <x:v>31</x:v>
      </x:c>
    </x:row>
    <x:row r="36" ht="23.25" hidden="0" customHeight="1">
      <x:c r="A36" s="10" t="s">
        <x:v>631</x:v>
      </x:c>
      <x:c r="B36" s="8" t="s">
        <x:v>632</x:v>
      </x:c>
      <x:c r="C36" s="10" t="s">
        <x:v>536</x:v>
      </x:c>
      <x:c r="D36" s="10" t="s">
        <x:v>628</x:v>
      </x:c>
      <x:c r="E36" s="8" t="s">
        <x:v>538</x:v>
      </x:c>
      <x:c r="F36" s="8" t="s">
        <x:v>564</x:v>
      </x:c>
      <x:c r="G36" s="9" t="s">
        <x:v>629</x:v>
      </x:c>
      <x:c r="H36" s="10" t="n">
        <x:v>2</x:v>
      </x:c>
      <x:c r="I36" s="8" t="n">
        <x:v>7</x:v>
      </x:c>
      <x:c r="J36" s="8" t="n">
        <x:v>6</x:v>
      </x:c>
      <x:c r="K36" s="8" t="n">
        <x:v>10</x:v>
      </x:c>
      <x:c r="L36" s="8" t="s">
        <x:v>541</x:v>
      </x:c>
      <x:c r="M36" s="8" t="n">
        <x:v>85</x:v>
      </x:c>
      <x:c r="N36" s="8" t="s">
        <x:v>542</x:v>
      </x:c>
      <x:c r="O36" s="9" t="s">
        <x:v>630</x:v>
      </x:c>
      <x:c r="P36" s="8" t="s">
        <x:v>169</x:v>
      </x:c>
      <x:c r="Q36" s="15" t="n">
        <x:v>32</x:v>
      </x:c>
    </x:row>
    <x:row r="37" ht="15" hidden="0" customHeight="1">
      <x:c r="A37" s="10" t="s">
        <x:v>633</x:v>
      </x:c>
      <x:c r="B37" s="8" t="s">
        <x:v>634</x:v>
      </x:c>
      <x:c r="C37" s="10" t="s">
        <x:v>536</x:v>
      </x:c>
      <x:c r="D37" s="10" t="s">
        <x:v>568</x:v>
      </x:c>
      <x:c r="E37" s="8" t="s">
        <x:v>538</x:v>
      </x:c>
      <x:c r="F37" s="8" t="s">
        <x:v>564</x:v>
      </x:c>
      <x:c r="G37" s="9" t="s">
        <x:v>635</x:v>
      </x:c>
      <x:c r="H37" s="10" t="n">
        <x:v>1</x:v>
      </x:c>
      <x:c r="I37" s="8" t="n">
        <x:v>3</x:v>
      </x:c>
      <x:c r="J37" s="8" t="n">
        <x:v>5</x:v>
      </x:c>
      <x:c r="K37" s="8" t="n">
        <x:v>10</x:v>
      </x:c>
      <x:c r="L37" s="8" t="s">
        <x:v>541</x:v>
      </x:c>
      <x:c r="M37" s="8" t="n">
        <x:v>100</x:v>
      </x:c>
      <x:c r="N37" s="8" t="s">
        <x:v>542</x:v>
      </x:c>
      <x:c r="O37" s="9" t="s">
        <x:v>636</x:v>
      </x:c>
      <x:c r="P37" s="8" t="s">
        <x:v>169</x:v>
      </x:c>
      <x:c r="Q37" s="15" t="n">
        <x:v>33</x:v>
      </x:c>
    </x:row>
    <x:row r="38" ht="15" hidden="0" customHeight="1">
      <x:c r="A38" s="10" t="s">
        <x:v>637</x:v>
      </x:c>
      <x:c r="B38" s="8" t="s">
        <x:v>638</x:v>
      </x:c>
      <x:c r="C38" s="10" t="s">
        <x:v>536</x:v>
      </x:c>
      <x:c r="D38" s="10" t="s">
        <x:v>568</x:v>
      </x:c>
      <x:c r="E38" s="8" t="s">
        <x:v>538</x:v>
      </x:c>
      <x:c r="F38" s="8" t="s">
        <x:v>564</x:v>
      </x:c>
      <x:c r="G38" s="9" t="s">
        <x:v>635</x:v>
      </x:c>
      <x:c r="H38" s="10" t="n">
        <x:v>2</x:v>
      </x:c>
      <x:c r="I38" s="8" t="n">
        <x:v>6</x:v>
      </x:c>
      <x:c r="J38" s="8" t="n">
        <x:v>11</x:v>
      </x:c>
      <x:c r="K38" s="8" t="n">
        <x:v>20</x:v>
      </x:c>
      <x:c r="L38" s="8" t="s">
        <x:v>541</x:v>
      </x:c>
      <x:c r="M38" s="8" t="n">
        <x:v>85</x:v>
      </x:c>
      <x:c r="N38" s="8" t="s">
        <x:v>542</x:v>
      </x:c>
      <x:c r="O38" s="9" t="s">
        <x:v>636</x:v>
      </x:c>
      <x:c r="P38" s="8" t="s">
        <x:v>169</x:v>
      </x:c>
      <x:c r="Q38" s="15" t="n">
        <x:v>34</x:v>
      </x:c>
    </x:row>
    <x:row r="39" ht="15" hidden="0" customHeight="1">
      <x:c r="A39" s="10" t="s">
        <x:v>639</x:v>
      </x:c>
      <x:c r="B39" s="8" t="s">
        <x:v>640</x:v>
      </x:c>
      <x:c r="C39" s="10" t="s">
        <x:v>536</x:v>
      </x:c>
      <x:c r="D39" s="10" t="s">
        <x:v>641</x:v>
      </x:c>
      <x:c r="E39" s="8" t="s">
        <x:v>538</x:v>
      </x:c>
      <x:c r="F39" s="8" t="s">
        <x:v>564</x:v>
      </x:c>
      <x:c r="G39" s="9" t="s">
        <x:v>642</x:v>
      </x:c>
      <x:c r="H39" s="10" t="n">
        <x:v>1</x:v>
      </x:c>
      <x:c r="I39" s="8" t="n">
        <x:v>3</x:v>
      </x:c>
      <x:c r="J39" s="8" t="n">
        <x:v>5</x:v>
      </x:c>
      <x:c r="K39" s="8" t="n">
        <x:v>10</x:v>
      </x:c>
      <x:c r="L39" s="8" t="s">
        <x:v>541</x:v>
      </x:c>
      <x:c r="M39" s="8" t="n">
        <x:v>100</x:v>
      </x:c>
      <x:c r="N39" s="8" t="s">
        <x:v>542</x:v>
      </x:c>
      <x:c r="O39" s="9" t="s">
        <x:v>643</x:v>
      </x:c>
      <x:c r="P39" s="8" t="s">
        <x:v>169</x:v>
      </x:c>
      <x:c r="Q39" s="15" t="n">
        <x:v>35</x:v>
      </x:c>
    </x:row>
    <x:row r="40" ht="15" hidden="0" customHeight="1">
      <x:c r="A40" s="10" t="s">
        <x:v>644</x:v>
      </x:c>
      <x:c r="B40" s="8" t="s">
        <x:v>645</x:v>
      </x:c>
      <x:c r="C40" s="10" t="s">
        <x:v>536</x:v>
      </x:c>
      <x:c r="D40" s="10" t="s">
        <x:v>641</x:v>
      </x:c>
      <x:c r="E40" s="8" t="s">
        <x:v>538</x:v>
      </x:c>
      <x:c r="F40" s="8" t="s">
        <x:v>564</x:v>
      </x:c>
      <x:c r="G40" s="9" t="s">
        <x:v>642</x:v>
      </x:c>
      <x:c r="H40" s="10" t="n">
        <x:v>2</x:v>
      </x:c>
      <x:c r="I40" s="8" t="n">
        <x:v>6</x:v>
      </x:c>
      <x:c r="J40" s="8" t="n">
        <x:v>11</x:v>
      </x:c>
      <x:c r="K40" s="8" t="n">
        <x:v>20</x:v>
      </x:c>
      <x:c r="L40" s="8" t="s">
        <x:v>541</x:v>
      </x:c>
      <x:c r="M40" s="8" t="n">
        <x:v>85</x:v>
      </x:c>
      <x:c r="N40" s="8" t="s">
        <x:v>542</x:v>
      </x:c>
      <x:c r="O40" s="9" t="s">
        <x:v>643</x:v>
      </x:c>
      <x:c r="P40" s="8" t="s">
        <x:v>169</x:v>
      </x:c>
      <x:c r="Q40" s="15" t="n">
        <x:v>36</x:v>
      </x:c>
    </x:row>
    <x:row r="41" ht="15" hidden="0" customHeight="1">
      <x:c r="A41" s="10" t="s">
        <x:v>646</x:v>
      </x:c>
      <x:c r="B41" s="8" t="s">
        <x:v>647</x:v>
      </x:c>
      <x:c r="C41" s="10" t="s">
        <x:v>536</x:v>
      </x:c>
      <x:c r="D41" s="10" t="s">
        <x:v>648</x:v>
      </x:c>
      <x:c r="E41" s="8" t="s">
        <x:v>105</x:v>
      </x:c>
      <x:c r="F41" s="8" t="s">
        <x:v>649</x:v>
      </x:c>
      <x:c r="G41" s="9" t="s">
        <x:v>650</x:v>
      </x:c>
      <x:c r="H41" s="10" t="n">
        <x:v>1</x:v>
      </x:c>
      <x:c r="I41" s="8" t="n">
        <x:v>1</x:v>
      </x:c>
      <x:c r="J41" s="8" t="n">
        <x:v>5</x:v>
      </x:c>
      <x:c r="K41" s="8" t="n">
        <x:v>10</x:v>
      </x:c>
      <x:c r="L41" s="8" t="s">
        <x:v>541</x:v>
      </x:c>
      <x:c r="M41" s="8" t="n">
        <x:v>100</x:v>
      </x:c>
      <x:c r="N41" s="8" t="s">
        <x:v>542</x:v>
      </x:c>
      <x:c r="O41" s="9" t="s">
        <x:v>651</x:v>
      </x:c>
      <x:c r="P41" s="8" t="s">
        <x:v>169</x:v>
      </x:c>
      <x:c r="Q41" s="15" t="n">
        <x:v>37</x:v>
      </x:c>
    </x:row>
    <x:row r="42" ht="15" hidden="0" customHeight="1">
      <x:c r="A42" s="10" t="s">
        <x:v>652</x:v>
      </x:c>
      <x:c r="B42" s="8" t="s">
        <x:v>653</x:v>
      </x:c>
      <x:c r="C42" s="10" t="s">
        <x:v>536</x:v>
      </x:c>
      <x:c r="D42" s="10" t="s">
        <x:v>648</x:v>
      </x:c>
      <x:c r="E42" s="8" t="s">
        <x:v>105</x:v>
      </x:c>
      <x:c r="F42" s="8" t="s">
        <x:v>649</x:v>
      </x:c>
      <x:c r="G42" s="9" t="s">
        <x:v>650</x:v>
      </x:c>
      <x:c r="H42" s="10" t="n">
        <x:v>2</x:v>
      </x:c>
      <x:c r="I42" s="8" t="n">
        <x:v>3</x:v>
      </x:c>
      <x:c r="J42" s="8" t="n">
        <x:v>11</x:v>
      </x:c>
      <x:c r="K42" s="8" t="n">
        <x:v>20</x:v>
      </x:c>
      <x:c r="L42" s="8" t="s">
        <x:v>541</x:v>
      </x:c>
      <x:c r="M42" s="8" t="n">
        <x:v>85</x:v>
      </x:c>
      <x:c r="N42" s="8" t="s">
        <x:v>542</x:v>
      </x:c>
      <x:c r="O42" s="9" t="s">
        <x:v>651</x:v>
      </x:c>
      <x:c r="P42" s="8" t="s">
        <x:v>169</x:v>
      </x:c>
      <x:c r="Q42" s="15" t="n">
        <x:v>38</x:v>
      </x:c>
    </x:row>
    <x:row r="43" ht="15" hidden="0" customHeight="1">
      <x:c r="A43" s="10" t="s">
        <x:v>654</x:v>
      </x:c>
      <x:c r="B43" s="8" t="s">
        <x:v>655</x:v>
      </x:c>
      <x:c r="C43" s="10" t="s">
        <x:v>536</x:v>
      </x:c>
      <x:c r="D43" s="10" t="s">
        <x:v>648</x:v>
      </x:c>
      <x:c r="E43" s="8" t="s">
        <x:v>105</x:v>
      </x:c>
      <x:c r="F43" s="8" t="s">
        <x:v>649</x:v>
      </x:c>
      <x:c r="G43" s="9" t="s">
        <x:v>650</x:v>
      </x:c>
      <x:c r="H43" s="10" t="n">
        <x:v>3</x:v>
      </x:c>
      <x:c r="I43" s="8" t="n">
        <x:v>5</x:v>
      </x:c>
      <x:c r="J43" s="8" t="n">
        <x:v>21</x:v>
      </x:c>
      <x:c r="K43" s="8" t="n">
        <x:v>30</x:v>
      </x:c>
      <x:c r="L43" s="8" t="s">
        <x:v>541</x:v>
      </x:c>
      <x:c r="M43" s="8" t="n">
        <x:v>70</x:v>
      </x:c>
      <x:c r="N43" s="8" t="s">
        <x:v>542</x:v>
      </x:c>
      <x:c r="O43" s="9" t="s">
        <x:v>651</x:v>
      </x:c>
      <x:c r="P43" s="8" t="s">
        <x:v>169</x:v>
      </x:c>
      <x:c r="Q43" s="15" t="n">
        <x:v>39</x:v>
      </x:c>
    </x:row>
    <x:row r="44" ht="15" hidden="0" customHeight="1">
      <x:c r="A44" s="10" t="s">
        <x:v>656</x:v>
      </x:c>
      <x:c r="B44" s="8" t="s">
        <x:v>657</x:v>
      </x:c>
      <x:c r="C44" s="10" t="s">
        <x:v>536</x:v>
      </x:c>
      <x:c r="D44" s="10" t="s">
        <x:v>648</x:v>
      </x:c>
      <x:c r="E44" s="8" t="s">
        <x:v>105</x:v>
      </x:c>
      <x:c r="F44" s="8" t="s">
        <x:v>649</x:v>
      </x:c>
      <x:c r="G44" s="9" t="s">
        <x:v>650</x:v>
      </x:c>
      <x:c r="H44" s="10" t="n">
        <x:v>4</x:v>
      </x:c>
      <x:c r="I44" s="8" t="n">
        <x:v>7</x:v>
      </x:c>
      <x:c r="J44" s="8" t="n">
        <x:v>31</x:v>
      </x:c>
      <x:c r="K44" s="8" t="n">
        <x:v>40</x:v>
      </x:c>
      <x:c r="L44" s="8" t="s">
        <x:v>541</x:v>
      </x:c>
      <x:c r="M44" s="8" t="n">
        <x:v>55</x:v>
      </x:c>
      <x:c r="N44" s="8" t="s">
        <x:v>542</x:v>
      </x:c>
      <x:c r="O44" s="9" t="s">
        <x:v>651</x:v>
      </x:c>
      <x:c r="P44" s="8" t="s">
        <x:v>169</x:v>
      </x:c>
      <x:c r="Q44" s="15" t="n">
        <x:v>40</x:v>
      </x:c>
    </x:row>
    <x:row r="45" ht="15" hidden="0" customHeight="1">
      <x:c r="A45" s="10" t="s">
        <x:v>658</x:v>
      </x:c>
      <x:c r="B45" s="8" t="s">
        <x:v>659</x:v>
      </x:c>
      <x:c r="C45" s="10" t="s">
        <x:v>536</x:v>
      </x:c>
      <x:c r="D45" s="10" t="s">
        <x:v>660</x:v>
      </x:c>
      <x:c r="E45" s="8" t="s">
        <x:v>105</x:v>
      </x:c>
      <x:c r="F45" s="8" t="s">
        <x:v>649</x:v>
      </x:c>
      <x:c r="G45" s="9" t="s">
        <x:v>661</x:v>
      </x:c>
      <x:c r="H45" s="10" t="n">
        <x:v>1</x:v>
      </x:c>
      <x:c r="I45" s="8" t="n">
        <x:v>1</x:v>
      </x:c>
      <x:c r="J45" s="8" t="n">
        <x:v>5</x:v>
      </x:c>
      <x:c r="K45" s="8" t="n">
        <x:v>10</x:v>
      </x:c>
      <x:c r="L45" s="8" t="s">
        <x:v>541</x:v>
      </x:c>
      <x:c r="M45" s="8" t="n">
        <x:v>100</x:v>
      </x:c>
      <x:c r="N45" s="8" t="s">
        <x:v>542</x:v>
      </x:c>
      <x:c r="O45" s="9" t="s">
        <x:v>662</x:v>
      </x:c>
      <x:c r="P45" s="8" t="s">
        <x:v>217</x:v>
      </x:c>
      <x:c r="Q45" s="15" t="n">
        <x:v>41</x:v>
      </x:c>
    </x:row>
    <x:row r="46" ht="15" hidden="0" customHeight="1">
      <x:c r="A46" s="10" t="s">
        <x:v>663</x:v>
      </x:c>
      <x:c r="B46" s="8" t="s">
        <x:v>664</x:v>
      </x:c>
      <x:c r="C46" s="10" t="s">
        <x:v>536</x:v>
      </x:c>
      <x:c r="D46" s="10" t="s">
        <x:v>660</x:v>
      </x:c>
      <x:c r="E46" s="8" t="s">
        <x:v>105</x:v>
      </x:c>
      <x:c r="F46" s="8" t="s">
        <x:v>649</x:v>
      </x:c>
      <x:c r="G46" s="9" t="s">
        <x:v>661</x:v>
      </x:c>
      <x:c r="H46" s="10" t="n">
        <x:v>2</x:v>
      </x:c>
      <x:c r="I46" s="8" t="n">
        <x:v>3</x:v>
      </x:c>
      <x:c r="J46" s="8" t="n">
        <x:v>11</x:v>
      </x:c>
      <x:c r="K46" s="8" t="n">
        <x:v>18</x:v>
      </x:c>
      <x:c r="L46" s="8" t="s">
        <x:v>541</x:v>
      </x:c>
      <x:c r="M46" s="8" t="n">
        <x:v>85</x:v>
      </x:c>
      <x:c r="N46" s="8" t="s">
        <x:v>542</x:v>
      </x:c>
      <x:c r="O46" s="9" t="s">
        <x:v>662</x:v>
      </x:c>
      <x:c r="P46" s="8" t="s">
        <x:v>217</x:v>
      </x:c>
      <x:c r="Q46" s="15" t="n">
        <x:v>42</x:v>
      </x:c>
    </x:row>
    <x:row r="47" ht="15" hidden="0" customHeight="1">
      <x:c r="A47" s="10" t="s">
        <x:v>665</x:v>
      </x:c>
      <x:c r="B47" s="8" t="s">
        <x:v>666</x:v>
      </x:c>
      <x:c r="C47" s="10" t="s">
        <x:v>536</x:v>
      </x:c>
      <x:c r="D47" s="10" t="s">
        <x:v>660</x:v>
      </x:c>
      <x:c r="E47" s="8" t="s">
        <x:v>105</x:v>
      </x:c>
      <x:c r="F47" s="8" t="s">
        <x:v>649</x:v>
      </x:c>
      <x:c r="G47" s="9" t="s">
        <x:v>661</x:v>
      </x:c>
      <x:c r="H47" s="10" t="n">
        <x:v>3</x:v>
      </x:c>
      <x:c r="I47" s="8" t="n">
        <x:v>6</x:v>
      </x:c>
      <x:c r="J47" s="8" t="n">
        <x:v>19</x:v>
      </x:c>
      <x:c r="K47" s="8" t="n">
        <x:v>26</x:v>
      </x:c>
      <x:c r="L47" s="8" t="s">
        <x:v>541</x:v>
      </x:c>
      <x:c r="M47" s="8" t="n">
        <x:v>70</x:v>
      </x:c>
      <x:c r="N47" s="8" t="s">
        <x:v>542</x:v>
      </x:c>
      <x:c r="O47" s="9" t="s">
        <x:v>662</x:v>
      </x:c>
      <x:c r="P47" s="8" t="s">
        <x:v>217</x:v>
      </x:c>
      <x:c r="Q47" s="15" t="n">
        <x:v>43</x:v>
      </x:c>
    </x:row>
    <x:row r="48" ht="15" hidden="0" customHeight="1">
      <x:c r="A48" s="10" t="s">
        <x:v>667</x:v>
      </x:c>
      <x:c r="B48" s="8" t="s">
        <x:v>668</x:v>
      </x:c>
      <x:c r="C48" s="10" t="s">
        <x:v>536</x:v>
      </x:c>
      <x:c r="D48" s="10" t="s">
        <x:v>660</x:v>
      </x:c>
      <x:c r="E48" s="8" t="s">
        <x:v>105</x:v>
      </x:c>
      <x:c r="F48" s="8" t="s">
        <x:v>649</x:v>
      </x:c>
      <x:c r="G48" s="9" t="s">
        <x:v>661</x:v>
      </x:c>
      <x:c r="H48" s="10" t="n">
        <x:v>4</x:v>
      </x:c>
      <x:c r="I48" s="8" t="n">
        <x:v>8</x:v>
      </x:c>
      <x:c r="J48" s="8" t="n">
        <x:v>27</x:v>
      </x:c>
      <x:c r="K48" s="8" t="n">
        <x:v>35</x:v>
      </x:c>
      <x:c r="L48" s="8" t="s">
        <x:v>541</x:v>
      </x:c>
      <x:c r="M48" s="8" t="n">
        <x:v>55</x:v>
      </x:c>
      <x:c r="N48" s="8" t="s">
        <x:v>542</x:v>
      </x:c>
      <x:c r="O48" s="9" t="s">
        <x:v>662</x:v>
      </x:c>
      <x:c r="P48" s="8" t="s">
        <x:v>217</x:v>
      </x:c>
      <x:c r="Q48" s="15" t="n">
        <x:v>44</x:v>
      </x:c>
    </x:row>
    <x:row r="49" ht="15" hidden="0" customHeight="1">
      <x:c r="A49" s="10" t="s">
        <x:v>669</x:v>
      </x:c>
      <x:c r="B49" s="8" t="s">
        <x:v>670</x:v>
      </x:c>
      <x:c r="C49" s="10" t="s">
        <x:v>536</x:v>
      </x:c>
      <x:c r="D49" s="10" t="s">
        <x:v>270</x:v>
      </x:c>
      <x:c r="E49" s="8" t="s">
        <x:v>105</x:v>
      </x:c>
      <x:c r="F49" s="8" t="s">
        <x:v>649</x:v>
      </x:c>
      <x:c r="G49" s="9" t="s">
        <x:v>671</x:v>
      </x:c>
      <x:c r="H49" s="10" t="n">
        <x:v>1</x:v>
      </x:c>
      <x:c r="I49" s="8" t="n">
        <x:v>1</x:v>
      </x:c>
      <x:c r="J49" s="8" t="n">
        <x:v>3</x:v>
      </x:c>
      <x:c r="K49" s="8" t="n">
        <x:v>8</x:v>
      </x:c>
      <x:c r="L49" s="8" t="s">
        <x:v>576</x:v>
      </x:c>
      <x:c r="M49" s="8" t="n">
        <x:v>100</x:v>
      </x:c>
      <x:c r="N49" s="8" t="s">
        <x:v>542</x:v>
      </x:c>
      <x:c r="O49" s="9" t="s">
        <x:v>672</x:v>
      </x:c>
      <x:c r="P49" s="8" t="s">
        <x:v>217</x:v>
      </x:c>
      <x:c r="Q49" s="15" t="n">
        <x:v>45</x:v>
      </x:c>
    </x:row>
    <x:row r="50" ht="15" hidden="0" customHeight="1">
      <x:c r="A50" s="10" t="s">
        <x:v>673</x:v>
      </x:c>
      <x:c r="B50" s="8" t="s">
        <x:v>674</x:v>
      </x:c>
      <x:c r="C50" s="10" t="s">
        <x:v>536</x:v>
      </x:c>
      <x:c r="D50" s="10" t="s">
        <x:v>270</x:v>
      </x:c>
      <x:c r="E50" s="8" t="s">
        <x:v>105</x:v>
      </x:c>
      <x:c r="F50" s="8" t="s">
        <x:v>649</x:v>
      </x:c>
      <x:c r="G50" s="9" t="s">
        <x:v>671</x:v>
      </x:c>
      <x:c r="H50" s="10" t="n">
        <x:v>2</x:v>
      </x:c>
      <x:c r="I50" s="8" t="n">
        <x:v>4</x:v>
      </x:c>
      <x:c r="J50" s="8" t="n">
        <x:v>12</x:v>
      </x:c>
      <x:c r="K50" s="8" t="n">
        <x:v>25</x:v>
      </x:c>
      <x:c r="L50" s="8" t="s">
        <x:v>576</x:v>
      </x:c>
      <x:c r="M50" s="8" t="n">
        <x:v>85</x:v>
      </x:c>
      <x:c r="N50" s="8" t="s">
        <x:v>542</x:v>
      </x:c>
      <x:c r="O50" s="9" t="s">
        <x:v>672</x:v>
      </x:c>
      <x:c r="P50" s="8" t="s">
        <x:v>217</x:v>
      </x:c>
      <x:c r="Q50" s="15" t="n">
        <x:v>46</x:v>
      </x:c>
    </x:row>
    <x:row r="51" ht="15" hidden="0" customHeight="1">
      <x:c r="A51" s="10" t="s">
        <x:v>675</x:v>
      </x:c>
      <x:c r="B51" s="8" t="s">
        <x:v>676</x:v>
      </x:c>
      <x:c r="C51" s="10" t="s">
        <x:v>536</x:v>
      </x:c>
      <x:c r="D51" s="10" t="s">
        <x:v>270</x:v>
      </x:c>
      <x:c r="E51" s="8" t="s">
        <x:v>105</x:v>
      </x:c>
      <x:c r="F51" s="8" t="s">
        <x:v>649</x:v>
      </x:c>
      <x:c r="G51" s="9" t="s">
        <x:v>671</x:v>
      </x:c>
      <x:c r="H51" s="10" t="n">
        <x:v>3</x:v>
      </x:c>
      <x:c r="I51" s="8" t="n">
        <x:v>7</x:v>
      </x:c>
      <x:c r="J51" s="8" t="n">
        <x:v>30</x:v>
      </x:c>
      <x:c r="K51" s="8" t="n">
        <x:v>50</x:v>
      </x:c>
      <x:c r="L51" s="8" t="s">
        <x:v>576</x:v>
      </x:c>
      <x:c r="M51" s="8" t="n">
        <x:v>70</x:v>
      </x:c>
      <x:c r="N51" s="8" t="s">
        <x:v>542</x:v>
      </x:c>
      <x:c r="O51" s="9" t="s">
        <x:v>672</x:v>
      </x:c>
      <x:c r="P51" s="8" t="s">
        <x:v>217</x:v>
      </x:c>
      <x:c r="Q51" s="15" t="n">
        <x:v>47</x:v>
      </x:c>
    </x:row>
    <x:row r="52" ht="15" hidden="0" customHeight="1">
      <x:c r="A52" s="10" t="s">
        <x:v>677</x:v>
      </x:c>
      <x:c r="B52" s="8" t="s">
        <x:v>678</x:v>
      </x:c>
      <x:c r="C52" s="10" t="s">
        <x:v>679</x:v>
      </x:c>
      <x:c r="D52" s="10" t="s">
        <x:v>680</x:v>
      </x:c>
      <x:c r="E52" s="8" t="s">
        <x:v>680</x:v>
      </x:c>
      <x:c r="F52" s="8" t="s">
        <x:v>681</x:v>
      </x:c>
      <x:c r="G52" s="9" t="s">
        <x:v>682</x:v>
      </x:c>
      <x:c r="H52" s="10" t="n">
        <x:v>1</x:v>
      </x:c>
      <x:c r="I52" s="8" t="n">
        <x:v>1</x:v>
      </x:c>
      <x:c r="J52" s="8" t="n">
        <x:v>5</x:v>
      </x:c>
      <x:c r="K52" s="8" t="n">
        <x:v>10</x:v>
      </x:c>
      <x:c r="L52" s="8" t="s">
        <x:v>541</x:v>
      </x:c>
      <x:c r="M52" s="8" t="n">
        <x:v>100</x:v>
      </x:c>
      <x:c r="N52" s="8" t="s">
        <x:v>542</x:v>
      </x:c>
      <x:c r="O52" s="9" t="s">
        <x:v>683</x:v>
      </x:c>
      <x:c r="P52" s="8" t="s">
        <x:v>169</x:v>
      </x:c>
      <x:c r="Q52" s="15" t="n">
        <x:v>48</x:v>
      </x:c>
    </x:row>
    <x:row r="53" ht="15" hidden="0" customHeight="1">
      <x:c r="A53" s="10" t="s">
        <x:v>684</x:v>
      </x:c>
      <x:c r="B53" s="8" t="s">
        <x:v>685</x:v>
      </x:c>
      <x:c r="C53" s="10" t="s">
        <x:v>679</x:v>
      </x:c>
      <x:c r="D53" s="10" t="s">
        <x:v>680</x:v>
      </x:c>
      <x:c r="E53" s="8" t="s">
        <x:v>680</x:v>
      </x:c>
      <x:c r="F53" s="8" t="s">
        <x:v>681</x:v>
      </x:c>
      <x:c r="G53" s="9" t="s">
        <x:v>682</x:v>
      </x:c>
      <x:c r="H53" s="10" t="n">
        <x:v>2</x:v>
      </x:c>
      <x:c r="I53" s="8" t="n">
        <x:v>4</x:v>
      </x:c>
      <x:c r="J53" s="8" t="n">
        <x:v>11</x:v>
      </x:c>
      <x:c r="K53" s="8" t="n">
        <x:v>15</x:v>
      </x:c>
      <x:c r="L53" s="8" t="s">
        <x:v>541</x:v>
      </x:c>
      <x:c r="M53" s="8" t="n">
        <x:v>85</x:v>
      </x:c>
      <x:c r="N53" s="8" t="s">
        <x:v>542</x:v>
      </x:c>
      <x:c r="O53" s="9" t="s">
        <x:v>683</x:v>
      </x:c>
      <x:c r="P53" s="8" t="s">
        <x:v>169</x:v>
      </x:c>
      <x:c r="Q53" s="15" t="n">
        <x:v>49</x:v>
      </x:c>
    </x:row>
    <x:row r="54" ht="15" hidden="0" customHeight="1">
      <x:c r="A54" s="10" t="s">
        <x:v>686</x:v>
      </x:c>
      <x:c r="B54" s="8" t="s">
        <x:v>687</x:v>
      </x:c>
      <x:c r="C54" s="10" t="s">
        <x:v>679</x:v>
      </x:c>
      <x:c r="D54" s="10" t="s">
        <x:v>680</x:v>
      </x:c>
      <x:c r="E54" s="8" t="s">
        <x:v>680</x:v>
      </x:c>
      <x:c r="F54" s="8" t="s">
        <x:v>681</x:v>
      </x:c>
      <x:c r="G54" s="9" t="s">
        <x:v>682</x:v>
      </x:c>
      <x:c r="H54" s="10" t="n">
        <x:v>3</x:v>
      </x:c>
      <x:c r="I54" s="8" t="n">
        <x:v>7</x:v>
      </x:c>
      <x:c r="J54" s="8" t="n">
        <x:v>16</x:v>
      </x:c>
      <x:c r="K54" s="8" t="n">
        <x:v>20</x:v>
      </x:c>
      <x:c r="L54" s="8" t="s">
        <x:v>541</x:v>
      </x:c>
      <x:c r="M54" s="8" t="n">
        <x:v>70</x:v>
      </x:c>
      <x:c r="N54" s="8" t="s">
        <x:v>542</x:v>
      </x:c>
      <x:c r="O54" s="9" t="s">
        <x:v>683</x:v>
      </x:c>
      <x:c r="P54" s="8" t="s">
        <x:v>169</x:v>
      </x:c>
      <x:c r="Q54" s="15" t="n">
        <x:v>50</x:v>
      </x:c>
    </x:row>
    <x:row r="55" ht="15" hidden="0" customHeight="1">
      <x:c r="A55" s="10" t="s">
        <x:v>688</x:v>
      </x:c>
      <x:c r="B55" s="8" t="s">
        <x:v>689</x:v>
      </x:c>
      <x:c r="C55" s="10" t="s">
        <x:v>679</x:v>
      </x:c>
      <x:c r="D55" s="10" t="s">
        <x:v>690</x:v>
      </x:c>
      <x:c r="E55" s="8" t="s">
        <x:v>680</x:v>
      </x:c>
      <x:c r="F55" s="8" t="s">
        <x:v>691</x:v>
      </x:c>
      <x:c r="G55" s="9" t="s">
        <x:v>692</x:v>
      </x:c>
      <x:c r="H55" s="10" t="n">
        <x:v>1</x:v>
      </x:c>
      <x:c r="I55" s="8" t="n">
        <x:v>1</x:v>
      </x:c>
      <x:c r="J55" s="8" t="n">
        <x:v>5</x:v>
      </x:c>
      <x:c r="K55" s="8" t="n">
        <x:v>10</x:v>
      </x:c>
      <x:c r="L55" s="8" t="s">
        <x:v>541</x:v>
      </x:c>
      <x:c r="M55" s="8" t="n">
        <x:v>100</x:v>
      </x:c>
      <x:c r="N55" s="8" t="s">
        <x:v>542</x:v>
      </x:c>
      <x:c r="O55" s="9" t="s">
        <x:v>693</x:v>
      </x:c>
      <x:c r="P55" s="8" t="s">
        <x:v>217</x:v>
      </x:c>
      <x:c r="Q55" s="15" t="n">
        <x:v>51</x:v>
      </x:c>
    </x:row>
    <x:row r="56" ht="15" hidden="0" customHeight="1">
      <x:c r="A56" s="10" t="s">
        <x:v>694</x:v>
      </x:c>
      <x:c r="B56" s="8" t="s">
        <x:v>695</x:v>
      </x:c>
      <x:c r="C56" s="10" t="s">
        <x:v>679</x:v>
      </x:c>
      <x:c r="D56" s="10" t="s">
        <x:v>690</x:v>
      </x:c>
      <x:c r="E56" s="8" t="s">
        <x:v>680</x:v>
      </x:c>
      <x:c r="F56" s="8" t="s">
        <x:v>691</x:v>
      </x:c>
      <x:c r="G56" s="9" t="s">
        <x:v>692</x:v>
      </x:c>
      <x:c r="H56" s="10" t="n">
        <x:v>2</x:v>
      </x:c>
      <x:c r="I56" s="8" t="n">
        <x:v>4</x:v>
      </x:c>
      <x:c r="J56" s="8" t="n">
        <x:v>11</x:v>
      </x:c>
      <x:c r="K56" s="8" t="n">
        <x:v>15</x:v>
      </x:c>
      <x:c r="L56" s="8" t="s">
        <x:v>541</x:v>
      </x:c>
      <x:c r="M56" s="8" t="n">
        <x:v>85</x:v>
      </x:c>
      <x:c r="N56" s="8" t="s">
        <x:v>542</x:v>
      </x:c>
      <x:c r="O56" s="9" t="s">
        <x:v>693</x:v>
      </x:c>
      <x:c r="P56" s="8" t="s">
        <x:v>217</x:v>
      </x:c>
      <x:c r="Q56" s="15" t="n">
        <x:v>52</x:v>
      </x:c>
    </x:row>
    <x:row r="57" ht="15" hidden="0" customHeight="1">
      <x:c r="A57" s="10" t="s">
        <x:v>696</x:v>
      </x:c>
      <x:c r="B57" s="8" t="s">
        <x:v>697</x:v>
      </x:c>
      <x:c r="C57" s="10" t="s">
        <x:v>679</x:v>
      </x:c>
      <x:c r="D57" s="10" t="s">
        <x:v>690</x:v>
      </x:c>
      <x:c r="E57" s="8" t="s">
        <x:v>680</x:v>
      </x:c>
      <x:c r="F57" s="8" t="s">
        <x:v>691</x:v>
      </x:c>
      <x:c r="G57" s="9" t="s">
        <x:v>692</x:v>
      </x:c>
      <x:c r="H57" s="10" t="n">
        <x:v>3</x:v>
      </x:c>
      <x:c r="I57" s="8" t="n">
        <x:v>7</x:v>
      </x:c>
      <x:c r="J57" s="8" t="n">
        <x:v>16</x:v>
      </x:c>
      <x:c r="K57" s="8" t="n">
        <x:v>20</x:v>
      </x:c>
      <x:c r="L57" s="8" t="s">
        <x:v>541</x:v>
      </x:c>
      <x:c r="M57" s="8" t="n">
        <x:v>70</x:v>
      </x:c>
      <x:c r="N57" s="8" t="s">
        <x:v>542</x:v>
      </x:c>
      <x:c r="O57" s="9" t="s">
        <x:v>693</x:v>
      </x:c>
      <x:c r="P57" s="8" t="s">
        <x:v>217</x:v>
      </x:c>
      <x:c r="Q57" s="15" t="n">
        <x:v>53</x:v>
      </x:c>
    </x:row>
    <x:row r="58" ht="15" hidden="0" customHeight="1">
      <x:c r="A58" s="10" t="s">
        <x:v>698</x:v>
      </x:c>
      <x:c r="B58" s="8" t="s">
        <x:v>699</x:v>
      </x:c>
      <x:c r="C58" s="10" t="s">
        <x:v>679</x:v>
      </x:c>
      <x:c r="D58" s="10" t="s">
        <x:v>700</x:v>
      </x:c>
      <x:c r="E58" s="8" t="s">
        <x:v>680</x:v>
      </x:c>
      <x:c r="F58" s="8" t="s">
        <x:v>701</x:v>
      </x:c>
      <x:c r="G58" s="9" t="s">
        <x:v>702</x:v>
      </x:c>
      <x:c r="H58" s="10" t="n">
        <x:v>1</x:v>
      </x:c>
      <x:c r="I58" s="8" t="n">
        <x:v>5</x:v>
      </x:c>
      <x:c r="J58" s="8" t="n">
        <x:v>3</x:v>
      </x:c>
      <x:c r="K58" s="8" t="n">
        <x:v>5</x:v>
      </x:c>
      <x:c r="L58" s="8" t="s">
        <x:v>541</x:v>
      </x:c>
      <x:c r="M58" s="8" t="n">
        <x:v>60</x:v>
      </x:c>
      <x:c r="N58" s="8" t="s">
        <x:v>542</x:v>
      </x:c>
      <x:c r="O58" s="9" t="s">
        <x:v>703</x:v>
      </x:c>
      <x:c r="P58" s="8" t="s">
        <x:v>217</x:v>
      </x:c>
      <x:c r="Q58" s="15" t="n">
        <x:v>54</x:v>
      </x:c>
    </x:row>
    <x:row r="59" ht="15" hidden="0" customHeight="1">
      <x:c r="A59" s="10" t="s">
        <x:v>704</x:v>
      </x:c>
      <x:c r="B59" s="8" t="s">
        <x:v>705</x:v>
      </x:c>
      <x:c r="C59" s="10" t="s">
        <x:v>679</x:v>
      </x:c>
      <x:c r="D59" s="10" t="s">
        <x:v>700</x:v>
      </x:c>
      <x:c r="E59" s="8" t="s">
        <x:v>680</x:v>
      </x:c>
      <x:c r="F59" s="8" t="s">
        <x:v>701</x:v>
      </x:c>
      <x:c r="G59" s="9" t="s">
        <x:v>702</x:v>
      </x:c>
      <x:c r="H59" s="10" t="n">
        <x:v>2</x:v>
      </x:c>
      <x:c r="I59" s="8" t="n">
        <x:v>8</x:v>
      </x:c>
      <x:c r="J59" s="8" t="n">
        <x:v>6</x:v>
      </x:c>
      <x:c r="K59" s="8" t="n">
        <x:v>8</x:v>
      </x:c>
      <x:c r="L59" s="8" t="s">
        <x:v>541</x:v>
      </x:c>
      <x:c r="M59" s="8" t="n">
        <x:v>45</x:v>
      </x:c>
      <x:c r="N59" s="8" t="s">
        <x:v>542</x:v>
      </x:c>
      <x:c r="O59" s="9" t="s">
        <x:v>703</x:v>
      </x:c>
      <x:c r="P59" s="8" t="s">
        <x:v>217</x:v>
      </x:c>
      <x:c r="Q59" s="15" t="n">
        <x:v>55</x:v>
      </x:c>
    </x:row>
    <x:row r="60" ht="15" hidden="0" customHeight="1">
      <x:c r="A60" s="10" t="s">
        <x:v>706</x:v>
      </x:c>
      <x:c r="B60" s="8" t="s">
        <x:v>707</x:v>
      </x:c>
      <x:c r="C60" s="10" t="s">
        <x:v>679</x:v>
      </x:c>
      <x:c r="D60" s="10" t="s">
        <x:v>708</x:v>
      </x:c>
      <x:c r="E60" s="8" t="s">
        <x:v>105</x:v>
      </x:c>
      <x:c r="F60" s="8" t="s">
        <x:v>649</x:v>
      </x:c>
      <x:c r="G60" s="9" t="s">
        <x:v>709</x:v>
      </x:c>
      <x:c r="H60" s="10" t="n">
        <x:v>1</x:v>
      </x:c>
      <x:c r="I60" s="8" t="n">
        <x:v>2</x:v>
      </x:c>
      <x:c r="J60" s="8" t="n">
        <x:v>5</x:v>
      </x:c>
      <x:c r="K60" s="8" t="n">
        <x:v>10</x:v>
      </x:c>
      <x:c r="L60" s="8" t="s">
        <x:v>541</x:v>
      </x:c>
      <x:c r="M60" s="8" t="n">
        <x:v>100</x:v>
      </x:c>
      <x:c r="N60" s="8" t="s">
        <x:v>542</x:v>
      </x:c>
      <x:c r="O60" s="9" t="s">
        <x:v>368</x:v>
      </x:c>
      <x:c r="P60" s="8" t="s">
        <x:v>217</x:v>
      </x:c>
      <x:c r="Q60" s="15" t="n">
        <x:v>56</x:v>
      </x:c>
    </x:row>
    <x:row r="61" ht="15" hidden="0" customHeight="1">
      <x:c r="A61" s="10" t="s">
        <x:v>710</x:v>
      </x:c>
      <x:c r="B61" s="8" t="s">
        <x:v>711</x:v>
      </x:c>
      <x:c r="C61" s="10" t="s">
        <x:v>679</x:v>
      </x:c>
      <x:c r="D61" s="10" t="s">
        <x:v>708</x:v>
      </x:c>
      <x:c r="E61" s="8" t="s">
        <x:v>105</x:v>
      </x:c>
      <x:c r="F61" s="8" t="s">
        <x:v>649</x:v>
      </x:c>
      <x:c r="G61" s="9" t="s">
        <x:v>709</x:v>
      </x:c>
      <x:c r="H61" s="10" t="n">
        <x:v>2</x:v>
      </x:c>
      <x:c r="I61" s="8" t="n">
        <x:v>5</x:v>
      </x:c>
      <x:c r="J61" s="8" t="n">
        <x:v>11</x:v>
      </x:c>
      <x:c r="K61" s="8" t="n">
        <x:v>20</x:v>
      </x:c>
      <x:c r="L61" s="8" t="s">
        <x:v>541</x:v>
      </x:c>
      <x:c r="M61" s="8" t="n">
        <x:v>85</x:v>
      </x:c>
      <x:c r="N61" s="8" t="s">
        <x:v>542</x:v>
      </x:c>
      <x:c r="O61" s="9" t="s">
        <x:v>368</x:v>
      </x:c>
      <x:c r="P61" s="8" t="s">
        <x:v>217</x:v>
      </x:c>
      <x:c r="Q61" s="15" t="n">
        <x:v>57</x:v>
      </x:c>
    </x:row>
    <x:row r="62" ht="15" hidden="0" customHeight="1">
      <x:c r="A62" s="10" t="s">
        <x:v>712</x:v>
      </x:c>
      <x:c r="B62" s="8" t="s">
        <x:v>713</x:v>
      </x:c>
      <x:c r="C62" s="10" t="s">
        <x:v>679</x:v>
      </x:c>
      <x:c r="D62" s="10" t="s">
        <x:v>708</x:v>
      </x:c>
      <x:c r="E62" s="8" t="s">
        <x:v>105</x:v>
      </x:c>
      <x:c r="F62" s="8" t="s">
        <x:v>649</x:v>
      </x:c>
      <x:c r="G62" s="9" t="s">
        <x:v>709</x:v>
      </x:c>
      <x:c r="H62" s="10" t="n">
        <x:v>3</x:v>
      </x:c>
      <x:c r="I62" s="8" t="n">
        <x:v>8</x:v>
      </x:c>
      <x:c r="J62" s="8" t="n">
        <x:v>21</x:v>
      </x:c>
      <x:c r="K62" s="8" t="n">
        <x:v>30</x:v>
      </x:c>
      <x:c r="L62" s="8" t="s">
        <x:v>541</x:v>
      </x:c>
      <x:c r="M62" s="8" t="n">
        <x:v>70</x:v>
      </x:c>
      <x:c r="N62" s="8" t="s">
        <x:v>542</x:v>
      </x:c>
      <x:c r="O62" s="9" t="s">
        <x:v>368</x:v>
      </x:c>
      <x:c r="P62" s="8" t="s">
        <x:v>217</x:v>
      </x:c>
      <x:c r="Q62" s="15" t="n">
        <x:v>58</x:v>
      </x:c>
    </x:row>
    <x:row r="63" ht="15" hidden="0" customHeight="1">
      <x:c r="A63" s="10" t="s">
        <x:v>714</x:v>
      </x:c>
      <x:c r="B63" s="8" t="s">
        <x:v>715</x:v>
      </x:c>
      <x:c r="C63" s="10" t="s">
        <x:v>679</x:v>
      </x:c>
      <x:c r="D63" s="10" t="s">
        <x:v>716</x:v>
      </x:c>
      <x:c r="E63" s="8" t="s">
        <x:v>105</x:v>
      </x:c>
      <x:c r="F63" s="8" t="s">
        <x:v>649</x:v>
      </x:c>
      <x:c r="G63" s="9" t="s">
        <x:v>717</x:v>
      </x:c>
      <x:c r="H63" s="10" t="n">
        <x:v>1</x:v>
      </x:c>
      <x:c r="I63" s="8" t="n">
        <x:v>1</x:v>
      </x:c>
      <x:c r="J63" s="8" t="n">
        <x:v>5</x:v>
      </x:c>
      <x:c r="K63" s="8" t="n">
        <x:v>15</x:v>
      </x:c>
      <x:c r="L63" s="8" t="s">
        <x:v>660</x:v>
      </x:c>
      <x:c r="M63" s="8" t="n">
        <x:v>100</x:v>
      </x:c>
      <x:c r="N63" s="8" t="s">
        <x:v>542</x:v>
      </x:c>
      <x:c r="O63" s="9" t="s">
        <x:v>718</x:v>
      </x:c>
      <x:c r="P63" s="8" t="s">
        <x:v>217</x:v>
      </x:c>
      <x:c r="Q63" s="15" t="n">
        <x:v>59</x:v>
      </x:c>
    </x:row>
    <x:row r="64" ht="15" hidden="0" customHeight="1">
      <x:c r="A64" s="10" t="s">
        <x:v>719</x:v>
      </x:c>
      <x:c r="B64" s="8" t="s">
        <x:v>720</x:v>
      </x:c>
      <x:c r="C64" s="10" t="s">
        <x:v>679</x:v>
      </x:c>
      <x:c r="D64" s="10" t="s">
        <x:v>716</x:v>
      </x:c>
      <x:c r="E64" s="8" t="s">
        <x:v>105</x:v>
      </x:c>
      <x:c r="F64" s="8" t="s">
        <x:v>649</x:v>
      </x:c>
      <x:c r="G64" s="9" t="s">
        <x:v>717</x:v>
      </x:c>
      <x:c r="H64" s="10" t="n">
        <x:v>2</x:v>
      </x:c>
      <x:c r="I64" s="8" t="n">
        <x:v>4</x:v>
      </x:c>
      <x:c r="J64" s="8" t="n">
        <x:v>20</x:v>
      </x:c>
      <x:c r="K64" s="8" t="n">
        <x:v>45</x:v>
      </x:c>
      <x:c r="L64" s="8" t="s">
        <x:v>660</x:v>
      </x:c>
      <x:c r="M64" s="8" t="n">
        <x:v>85</x:v>
      </x:c>
      <x:c r="N64" s="8" t="s">
        <x:v>542</x:v>
      </x:c>
      <x:c r="O64" s="9" t="s">
        <x:v>718</x:v>
      </x:c>
      <x:c r="P64" s="8" t="s">
        <x:v>217</x:v>
      </x:c>
      <x:c r="Q64" s="15" t="n">
        <x:v>60</x:v>
      </x:c>
    </x:row>
    <x:row r="65" ht="15" hidden="0" customHeight="1">
      <x:c r="A65" s="10" t="s">
        <x:v>721</x:v>
      </x:c>
      <x:c r="B65" s="8" t="s">
        <x:v>722</x:v>
      </x:c>
      <x:c r="C65" s="10" t="s">
        <x:v>679</x:v>
      </x:c>
      <x:c r="D65" s="10" t="s">
        <x:v>716</x:v>
      </x:c>
      <x:c r="E65" s="8" t="s">
        <x:v>105</x:v>
      </x:c>
      <x:c r="F65" s="8" t="s">
        <x:v>649</x:v>
      </x:c>
      <x:c r="G65" s="9" t="s">
        <x:v>717</x:v>
      </x:c>
      <x:c r="H65" s="10" t="n">
        <x:v>3</x:v>
      </x:c>
      <x:c r="I65" s="8" t="n">
        <x:v>7</x:v>
      </x:c>
      <x:c r="J65" s="8" t="n">
        <x:v>50</x:v>
      </x:c>
      <x:c r="K65" s="8" t="n">
        <x:v>90</x:v>
      </x:c>
      <x:c r="L65" s="8" t="s">
        <x:v>660</x:v>
      </x:c>
      <x:c r="M65" s="8" t="n">
        <x:v>70</x:v>
      </x:c>
      <x:c r="N65" s="8" t="s">
        <x:v>542</x:v>
      </x:c>
      <x:c r="O65" s="9" t="s">
        <x:v>718</x:v>
      </x:c>
      <x:c r="P65" s="8" t="s">
        <x:v>217</x:v>
      </x:c>
      <x:c r="Q65" s="15" t="n">
        <x:v>61</x:v>
      </x:c>
    </x:row>
    <x:row r="66" ht="15" hidden="0" customHeight="1">
      <x:c r="A66" s="10" t="s">
        <x:v>723</x:v>
      </x:c>
      <x:c r="B66" s="8" t="s">
        <x:v>724</x:v>
      </x:c>
      <x:c r="C66" s="10" t="s">
        <x:v>679</x:v>
      </x:c>
      <x:c r="D66" s="10" t="s">
        <x:v>725</x:v>
      </x:c>
      <x:c r="E66" s="8" t="s">
        <x:v>105</x:v>
      </x:c>
      <x:c r="F66" s="8" t="s">
        <x:v>649</x:v>
      </x:c>
      <x:c r="G66" s="9" t="s">
        <x:v>726</x:v>
      </x:c>
      <x:c r="H66" s="10" t="n">
        <x:v>1</x:v>
      </x:c>
      <x:c r="I66" s="8" t="n">
        <x:v>3</x:v>
      </x:c>
      <x:c r="J66" s="8" t="n">
        <x:v>5</x:v>
      </x:c>
      <x:c r="K66" s="8" t="n">
        <x:v>10</x:v>
      </x:c>
      <x:c r="L66" s="8" t="s">
        <x:v>541</x:v>
      </x:c>
      <x:c r="M66" s="8" t="n">
        <x:v>100</x:v>
      </x:c>
      <x:c r="N66" s="8" t="s">
        <x:v>542</x:v>
      </x:c>
      <x:c r="O66" s="9" t="s">
        <x:v>727</x:v>
      </x:c>
      <x:c r="P66" s="8" t="s">
        <x:v>217</x:v>
      </x:c>
      <x:c r="Q66" s="15" t="n">
        <x:v>62</x:v>
      </x:c>
    </x:row>
    <x:row r="67" ht="15" hidden="0" customHeight="1">
      <x:c r="A67" s="10" t="s">
        <x:v>728</x:v>
      </x:c>
      <x:c r="B67" s="8" t="s">
        <x:v>729</x:v>
      </x:c>
      <x:c r="C67" s="10" t="s">
        <x:v>679</x:v>
      </x:c>
      <x:c r="D67" s="10" t="s">
        <x:v>725</x:v>
      </x:c>
      <x:c r="E67" s="8" t="s">
        <x:v>105</x:v>
      </x:c>
      <x:c r="F67" s="8" t="s">
        <x:v>649</x:v>
      </x:c>
      <x:c r="G67" s="9" t="s">
        <x:v>726</x:v>
      </x:c>
      <x:c r="H67" s="10" t="n">
        <x:v>2</x:v>
      </x:c>
      <x:c r="I67" s="8" t="n">
        <x:v>6</x:v>
      </x:c>
      <x:c r="J67" s="8" t="n">
        <x:v>11</x:v>
      </x:c>
      <x:c r="K67" s="8" t="n">
        <x:v>20</x:v>
      </x:c>
      <x:c r="L67" s="8" t="s">
        <x:v>541</x:v>
      </x:c>
      <x:c r="M67" s="8" t="n">
        <x:v>85</x:v>
      </x:c>
      <x:c r="N67" s="8" t="s">
        <x:v>542</x:v>
      </x:c>
      <x:c r="O67" s="9" t="s">
        <x:v>727</x:v>
      </x:c>
      <x:c r="P67" s="8" t="s">
        <x:v>217</x:v>
      </x:c>
      <x:c r="Q67" s="15" t="n">
        <x:v>63</x:v>
      </x:c>
    </x:row>
    <x:row r="68" ht="15" hidden="0" customHeight="1">
      <x:c r="A68" s="10" t="s">
        <x:v>730</x:v>
      </x:c>
      <x:c r="B68" s="8" t="s">
        <x:v>731</x:v>
      </x:c>
      <x:c r="C68" s="10" t="s">
        <x:v>679</x:v>
      </x:c>
      <x:c r="D68" s="10" t="s">
        <x:v>732</x:v>
      </x:c>
      <x:c r="E68" s="8" t="s">
        <x:v>136</x:v>
      </x:c>
      <x:c r="F68" s="8" t="s">
        <x:v>701</x:v>
      </x:c>
      <x:c r="G68" s="9" t="s">
        <x:v>733</x:v>
      </x:c>
      <x:c r="H68" s="10" t="n">
        <x:v>1</x:v>
      </x:c>
      <x:c r="I68" s="8" t="n">
        <x:v>4</x:v>
      </x:c>
      <x:c r="J68" s="8" t="n">
        <x:v>1</x:v>
      </x:c>
      <x:c r="K68" s="8" t="n">
        <x:v>1</x:v>
      </x:c>
      <x:c r="L68" s="8" t="s">
        <x:v>34</x:v>
      </x:c>
      <x:c r="M68" s="8" t="n">
        <x:v>40</x:v>
      </x:c>
      <x:c r="N68" s="8" t="s">
        <x:v>104</x:v>
      </x:c>
      <x:c r="O68" s="9" t="s">
        <x:v>734</x:v>
      </x:c>
      <x:c r="P68" s="8" t="s">
        <x:v>169</x:v>
      </x:c>
      <x:c r="Q68" s="15" t="n">
        <x:v>64</x:v>
      </x:c>
    </x:row>
    <x:row r="69" ht="15" hidden="0" customHeight="1">
      <x:c r="A69" s="10" t="s">
        <x:v>735</x:v>
      </x:c>
      <x:c r="B69" s="8" t="s">
        <x:v>736</x:v>
      </x:c>
      <x:c r="C69" s="10" t="s">
        <x:v>679</x:v>
      </x:c>
      <x:c r="D69" s="10" t="s">
        <x:v>732</x:v>
      </x:c>
      <x:c r="E69" s="8" t="s">
        <x:v>136</x:v>
      </x:c>
      <x:c r="F69" s="8" t="s">
        <x:v>701</x:v>
      </x:c>
      <x:c r="G69" s="9" t="s">
        <x:v>733</x:v>
      </x:c>
      <x:c r="H69" s="10" t="n">
        <x:v>2</x:v>
      </x:c>
      <x:c r="I69" s="8" t="n">
        <x:v>8</x:v>
      </x:c>
      <x:c r="J69" s="8" t="n">
        <x:v>2</x:v>
      </x:c>
      <x:c r="K69" s="8" t="n">
        <x:v>2</x:v>
      </x:c>
      <x:c r="L69" s="8" t="s">
        <x:v>34</x:v>
      </x:c>
      <x:c r="M69" s="8" t="n">
        <x:v>25</x:v>
      </x:c>
      <x:c r="N69" s="8" t="s">
        <x:v>104</x:v>
      </x:c>
      <x:c r="O69" s="9" t="s">
        <x:v>734</x:v>
      </x:c>
      <x:c r="P69" s="8" t="s">
        <x:v>169</x:v>
      </x:c>
      <x:c r="Q69" s="15" t="n">
        <x:v>65</x:v>
      </x:c>
    </x:row>
    <x:row r="70" ht="15" hidden="0" customHeight="1">
      <x:c r="A70" s="10" t="s">
        <x:v>737</x:v>
      </x:c>
      <x:c r="B70" s="8" t="s">
        <x:v>738</x:v>
      </x:c>
      <x:c r="C70" s="10" t="s">
        <x:v>679</x:v>
      </x:c>
      <x:c r="D70" s="10" t="s">
        <x:v>739</x:v>
      </x:c>
      <x:c r="E70" s="8" t="s">
        <x:v>136</x:v>
      </x:c>
      <x:c r="F70" s="8" t="s">
        <x:v>701</x:v>
      </x:c>
      <x:c r="G70" s="9" t="s">
        <x:v>740</x:v>
      </x:c>
      <x:c r="H70" s="10" t="n">
        <x:v>1</x:v>
      </x:c>
      <x:c r="I70" s="8" t="n">
        <x:v>4</x:v>
      </x:c>
      <x:c r="J70" s="8" t="n">
        <x:v>1</x:v>
      </x:c>
      <x:c r="K70" s="8" t="n">
        <x:v>1</x:v>
      </x:c>
      <x:c r="L70" s="8" t="s">
        <x:v>34</x:v>
      </x:c>
      <x:c r="M70" s="8" t="n">
        <x:v>40</x:v>
      </x:c>
      <x:c r="N70" s="8" t="s">
        <x:v>112</x:v>
      </x:c>
      <x:c r="O70" s="9" t="s">
        <x:v>741</x:v>
      </x:c>
      <x:c r="P70" s="8" t="s">
        <x:v>169</x:v>
      </x:c>
      <x:c r="Q70" s="15" t="n">
        <x:v>66</x:v>
      </x:c>
    </x:row>
    <x:row r="71" ht="15" hidden="0" customHeight="1">
      <x:c r="A71" s="10" t="s">
        <x:v>742</x:v>
      </x:c>
      <x:c r="B71" s="8" t="s">
        <x:v>743</x:v>
      </x:c>
      <x:c r="C71" s="10" t="s">
        <x:v>679</x:v>
      </x:c>
      <x:c r="D71" s="10" t="s">
        <x:v>739</x:v>
      </x:c>
      <x:c r="E71" s="8" t="s">
        <x:v>136</x:v>
      </x:c>
      <x:c r="F71" s="8" t="s">
        <x:v>701</x:v>
      </x:c>
      <x:c r="G71" s="9" t="s">
        <x:v>740</x:v>
      </x:c>
      <x:c r="H71" s="10" t="n">
        <x:v>2</x:v>
      </x:c>
      <x:c r="I71" s="8" t="n">
        <x:v>8</x:v>
      </x:c>
      <x:c r="J71" s="8" t="n">
        <x:v>2</x:v>
      </x:c>
      <x:c r="K71" s="8" t="n">
        <x:v>2</x:v>
      </x:c>
      <x:c r="L71" s="8" t="s">
        <x:v>34</x:v>
      </x:c>
      <x:c r="M71" s="8" t="n">
        <x:v>25</x:v>
      </x:c>
      <x:c r="N71" s="8" t="s">
        <x:v>112</x:v>
      </x:c>
      <x:c r="O71" s="9" t="s">
        <x:v>741</x:v>
      </x:c>
      <x:c r="P71" s="8" t="s">
        <x:v>169</x:v>
      </x:c>
      <x:c r="Q71" s="15" t="n">
        <x:v>67</x:v>
      </x:c>
    </x:row>
    <x:row r="72" ht="15" hidden="0" customHeight="1">
      <x:c r="A72" s="10" t="s">
        <x:v>744</x:v>
      </x:c>
      <x:c r="B72" s="8" t="s">
        <x:v>745</x:v>
      </x:c>
      <x:c r="C72" s="10" t="s">
        <x:v>679</x:v>
      </x:c>
      <x:c r="D72" s="10" t="s">
        <x:v>746</x:v>
      </x:c>
      <x:c r="E72" s="8" t="s">
        <x:v>136</x:v>
      </x:c>
      <x:c r="F72" s="8" t="s">
        <x:v>701</x:v>
      </x:c>
      <x:c r="G72" s="9" t="s">
        <x:v>747</x:v>
      </x:c>
      <x:c r="H72" s="10" t="n">
        <x:v>1</x:v>
      </x:c>
      <x:c r="I72" s="8" t="n">
        <x:v>4</x:v>
      </x:c>
      <x:c r="J72" s="8" t="n">
        <x:v>1</x:v>
      </x:c>
      <x:c r="K72" s="8" t="n">
        <x:v>1</x:v>
      </x:c>
      <x:c r="L72" s="8" t="s">
        <x:v>34</x:v>
      </x:c>
      <x:c r="M72" s="8" t="n">
        <x:v>40</x:v>
      </x:c>
      <x:c r="N72" s="8" t="s">
        <x:v>120</x:v>
      </x:c>
      <x:c r="O72" s="9" t="s">
        <x:v>741</x:v>
      </x:c>
      <x:c r="P72" s="8" t="s">
        <x:v>169</x:v>
      </x:c>
      <x:c r="Q72" s="15" t="n">
        <x:v>68</x:v>
      </x:c>
    </x:row>
    <x:row r="73" ht="15" hidden="0" customHeight="1">
      <x:c r="A73" s="10" t="s">
        <x:v>748</x:v>
      </x:c>
      <x:c r="B73" s="8" t="s">
        <x:v>749</x:v>
      </x:c>
      <x:c r="C73" s="10" t="s">
        <x:v>679</x:v>
      </x:c>
      <x:c r="D73" s="10" t="s">
        <x:v>746</x:v>
      </x:c>
      <x:c r="E73" s="8" t="s">
        <x:v>136</x:v>
      </x:c>
      <x:c r="F73" s="8" t="s">
        <x:v>701</x:v>
      </x:c>
      <x:c r="G73" s="9" t="s">
        <x:v>747</x:v>
      </x:c>
      <x:c r="H73" s="10" t="n">
        <x:v>2</x:v>
      </x:c>
      <x:c r="I73" s="8" t="n">
        <x:v>8</x:v>
      </x:c>
      <x:c r="J73" s="8" t="n">
        <x:v>2</x:v>
      </x:c>
      <x:c r="K73" s="8" t="n">
        <x:v>2</x:v>
      </x:c>
      <x:c r="L73" s="8" t="s">
        <x:v>34</x:v>
      </x:c>
      <x:c r="M73" s="8" t="n">
        <x:v>25</x:v>
      </x:c>
      <x:c r="N73" s="8" t="s">
        <x:v>120</x:v>
      </x:c>
      <x:c r="O73" s="9" t="s">
        <x:v>741</x:v>
      </x:c>
      <x:c r="P73" s="8" t="s">
        <x:v>169</x:v>
      </x:c>
      <x:c r="Q73" s="15" t="n">
        <x:v>69</x:v>
      </x:c>
    </x:row>
    <x:row r="74" ht="15" hidden="0" customHeight="1">
      <x:c r="A74" s="10" t="s">
        <x:v>750</x:v>
      </x:c>
      <x:c r="B74" s="8" t="s">
        <x:v>751</x:v>
      </x:c>
      <x:c r="C74" s="10" t="s">
        <x:v>679</x:v>
      </x:c>
      <x:c r="D74" s="10" t="s">
        <x:v>752</x:v>
      </x:c>
      <x:c r="E74" s="8" t="s">
        <x:v>136</x:v>
      </x:c>
      <x:c r="F74" s="8" t="s">
        <x:v>701</x:v>
      </x:c>
      <x:c r="G74" s="9" t="s">
        <x:v>753</x:v>
      </x:c>
      <x:c r="H74" s="10" t="n">
        <x:v>1</x:v>
      </x:c>
      <x:c r="I74" s="8" t="n">
        <x:v>4</x:v>
      </x:c>
      <x:c r="J74" s="8" t="n">
        <x:v>1</x:v>
      </x:c>
      <x:c r="K74" s="8" t="n">
        <x:v>1</x:v>
      </x:c>
      <x:c r="L74" s="8" t="s">
        <x:v>34</x:v>
      </x:c>
      <x:c r="M74" s="8" t="n">
        <x:v>40</x:v>
      </x:c>
      <x:c r="N74" s="8" t="s">
        <x:v>128</x:v>
      </x:c>
      <x:c r="O74" s="9" t="s">
        <x:v>741</x:v>
      </x:c>
      <x:c r="P74" s="8" t="s">
        <x:v>169</x:v>
      </x:c>
      <x:c r="Q74" s="15" t="n">
        <x:v>70</x:v>
      </x:c>
    </x:row>
    <x:row r="75" ht="15" hidden="0" customHeight="1">
      <x:c r="A75" s="10" t="s">
        <x:v>754</x:v>
      </x:c>
      <x:c r="B75" s="8" t="s">
        <x:v>755</x:v>
      </x:c>
      <x:c r="C75" s="10" t="s">
        <x:v>679</x:v>
      </x:c>
      <x:c r="D75" s="10" t="s">
        <x:v>752</x:v>
      </x:c>
      <x:c r="E75" s="8" t="s">
        <x:v>136</x:v>
      </x:c>
      <x:c r="F75" s="8" t="s">
        <x:v>701</x:v>
      </x:c>
      <x:c r="G75" s="9" t="s">
        <x:v>753</x:v>
      </x:c>
      <x:c r="H75" s="10" t="n">
        <x:v>2</x:v>
      </x:c>
      <x:c r="I75" s="8" t="n">
        <x:v>8</x:v>
      </x:c>
      <x:c r="J75" s="8" t="n">
        <x:v>2</x:v>
      </x:c>
      <x:c r="K75" s="8" t="n">
        <x:v>2</x:v>
      </x:c>
      <x:c r="L75" s="8" t="s">
        <x:v>34</x:v>
      </x:c>
      <x:c r="M75" s="8" t="n">
        <x:v>25</x:v>
      </x:c>
      <x:c r="N75" s="8" t="s">
        <x:v>128</x:v>
      </x:c>
      <x:c r="O75" s="9" t="s">
        <x:v>741</x:v>
      </x:c>
      <x:c r="P75" s="8" t="s">
        <x:v>169</x:v>
      </x:c>
      <x:c r="Q75" s="15" t="n">
        <x:v>71</x:v>
      </x:c>
    </x:row>
    <x:row r="76" ht="15" hidden="0" customHeight="1">
      <x:c r="A76" s="10" t="s">
        <x:v>756</x:v>
      </x:c>
      <x:c r="B76" s="8" t="s">
        <x:v>757</x:v>
      </x:c>
      <x:c r="C76" s="10" t="s">
        <x:v>679</x:v>
      </x:c>
      <x:c r="D76" s="10" t="s">
        <x:v>758</x:v>
      </x:c>
      <x:c r="E76" s="8" t="s">
        <x:v>136</x:v>
      </x:c>
      <x:c r="F76" s="8" t="s">
        <x:v>701</x:v>
      </x:c>
      <x:c r="G76" s="9" t="s">
        <x:v>759</x:v>
      </x:c>
      <x:c r="H76" s="10" t="n">
        <x:v>1</x:v>
      </x:c>
      <x:c r="I76" s="8" t="n">
        <x:v>2</x:v>
      </x:c>
      <x:c r="J76" s="8" t="n">
        <x:v>1</x:v>
      </x:c>
      <x:c r="K76" s="8" t="n">
        <x:v>1</x:v>
      </x:c>
      <x:c r="L76" s="8" t="s">
        <x:v>34</x:v>
      </x:c>
      <x:c r="M76" s="8" t="n">
        <x:v>60</x:v>
      </x:c>
      <x:c r="N76" s="8" t="s">
        <x:v>542</x:v>
      </x:c>
      <x:c r="O76" s="9" t="s">
        <x:v>760</x:v>
      </x:c>
      <x:c r="P76" s="8" t="s">
        <x:v>217</x:v>
      </x:c>
      <x:c r="Q76" s="15" t="n">
        <x:v>72</x:v>
      </x:c>
    </x:row>
    <x:row r="77" ht="15" hidden="0" customHeight="1">
      <x:c r="A77" s="10" t="s">
        <x:v>761</x:v>
      </x:c>
      <x:c r="B77" s="8" t="s">
        <x:v>762</x:v>
      </x:c>
      <x:c r="C77" s="10" t="s">
        <x:v>679</x:v>
      </x:c>
      <x:c r="D77" s="10" t="s">
        <x:v>758</x:v>
      </x:c>
      <x:c r="E77" s="8" t="s">
        <x:v>136</x:v>
      </x:c>
      <x:c r="F77" s="8" t="s">
        <x:v>701</x:v>
      </x:c>
      <x:c r="G77" s="9" t="s">
        <x:v>759</x:v>
      </x:c>
      <x:c r="H77" s="10" t="n">
        <x:v>2</x:v>
      </x:c>
      <x:c r="I77" s="8" t="n">
        <x:v>5</x:v>
      </x:c>
      <x:c r="J77" s="8" t="n">
        <x:v>1</x:v>
      </x:c>
      <x:c r="K77" s="8" t="n">
        <x:v>2</x:v>
      </x:c>
      <x:c r="L77" s="8" t="s">
        <x:v>34</x:v>
      </x:c>
      <x:c r="M77" s="8" t="n">
        <x:v>45</x:v>
      </x:c>
      <x:c r="N77" s="8" t="s">
        <x:v>542</x:v>
      </x:c>
      <x:c r="O77" s="9" t="s">
        <x:v>760</x:v>
      </x:c>
      <x:c r="P77" s="8" t="s">
        <x:v>217</x:v>
      </x:c>
      <x:c r="Q77" s="15" t="n">
        <x:v>73</x:v>
      </x:c>
    </x:row>
    <x:row r="78" ht="15" hidden="0" customHeight="1">
      <x:c r="A78" s="10" t="s">
        <x:v>763</x:v>
      </x:c>
      <x:c r="B78" s="8" t="s">
        <x:v>764</x:v>
      </x:c>
      <x:c r="C78" s="10" t="s">
        <x:v>679</x:v>
      </x:c>
      <x:c r="D78" s="10" t="s">
        <x:v>758</x:v>
      </x:c>
      <x:c r="E78" s="8" t="s">
        <x:v>136</x:v>
      </x:c>
      <x:c r="F78" s="8" t="s">
        <x:v>701</x:v>
      </x:c>
      <x:c r="G78" s="9" t="s">
        <x:v>759</x:v>
      </x:c>
      <x:c r="H78" s="10" t="n">
        <x:v>3</x:v>
      </x:c>
      <x:c r="I78" s="8" t="n">
        <x:v>8</x:v>
      </x:c>
      <x:c r="J78" s="8" t="n">
        <x:v>2</x:v>
      </x:c>
      <x:c r="K78" s="8" t="n">
        <x:v>3</x:v>
      </x:c>
      <x:c r="L78" s="8" t="s">
        <x:v>34</x:v>
      </x:c>
      <x:c r="M78" s="8" t="n">
        <x:v>30</x:v>
      </x:c>
      <x:c r="N78" s="8" t="s">
        <x:v>542</x:v>
      </x:c>
      <x:c r="O78" s="9" t="s">
        <x:v>760</x:v>
      </x:c>
      <x:c r="P78" s="8" t="s">
        <x:v>217</x:v>
      </x:c>
      <x:c r="Q78" s="15" t="n">
        <x:v>74</x:v>
      </x:c>
    </x:row>
    <x:row r="79" ht="15" hidden="0" customHeight="1">
      <x:c r="A79" s="10" t="s">
        <x:v>765</x:v>
      </x:c>
      <x:c r="B79" s="8" t="s">
        <x:v>766</x:v>
      </x:c>
      <x:c r="C79" s="10" t="s">
        <x:v>679</x:v>
      </x:c>
      <x:c r="D79" s="10" t="s">
        <x:v>767</x:v>
      </x:c>
      <x:c r="E79" s="8" t="s">
        <x:v>136</x:v>
      </x:c>
      <x:c r="F79" s="8" t="s">
        <x:v>691</x:v>
      </x:c>
      <x:c r="G79" s="9" t="s">
        <x:v>768</x:v>
      </x:c>
      <x:c r="H79" s="10" t="n">
        <x:v>1</x:v>
      </x:c>
      <x:c r="I79" s="8" t="n">
        <x:v>3</x:v>
      </x:c>
      <x:c r="J79" s="8" t="n">
        <x:v>5</x:v>
      </x:c>
      <x:c r="K79" s="8" t="n">
        <x:v>8</x:v>
      </x:c>
      <x:c r="L79" s="8" t="s">
        <x:v>541</x:v>
      </x:c>
      <x:c r="M79" s="8" t="n">
        <x:v>70</x:v>
      </x:c>
      <x:c r="N79" s="8" t="s">
        <x:v>542</x:v>
      </x:c>
      <x:c r="O79" s="9" t="s">
        <x:v>769</x:v>
      </x:c>
      <x:c r="P79" s="8" t="s">
        <x:v>169</x:v>
      </x:c>
      <x:c r="Q79" s="15" t="n">
        <x:v>75</x:v>
      </x:c>
    </x:row>
    <x:row r="80" ht="15" hidden="0" customHeight="1">
      <x:c r="A80" s="10" t="s">
        <x:v>770</x:v>
      </x:c>
      <x:c r="B80" s="8" t="s">
        <x:v>771</x:v>
      </x:c>
      <x:c r="C80" s="10" t="s">
        <x:v>679</x:v>
      </x:c>
      <x:c r="D80" s="10" t="s">
        <x:v>767</x:v>
      </x:c>
      <x:c r="E80" s="8" t="s">
        <x:v>136</x:v>
      </x:c>
      <x:c r="F80" s="8" t="s">
        <x:v>691</x:v>
      </x:c>
      <x:c r="G80" s="9" t="s">
        <x:v>768</x:v>
      </x:c>
      <x:c r="H80" s="10" t="n">
        <x:v>2</x:v>
      </x:c>
      <x:c r="I80" s="8" t="n">
        <x:v>6</x:v>
      </x:c>
      <x:c r="J80" s="8" t="n">
        <x:v>9</x:v>
      </x:c>
      <x:c r="K80" s="8" t="n">
        <x:v>12</x:v>
      </x:c>
      <x:c r="L80" s="8" t="s">
        <x:v>541</x:v>
      </x:c>
      <x:c r="M80" s="8" t="n">
        <x:v>55</x:v>
      </x:c>
      <x:c r="N80" s="8" t="s">
        <x:v>542</x:v>
      </x:c>
      <x:c r="O80" s="9" t="s">
        <x:v>769</x:v>
      </x:c>
      <x:c r="P80" s="8" t="s">
        <x:v>169</x:v>
      </x:c>
      <x:c r="Q80" s="15" t="n">
        <x:v>76</x:v>
      </x:c>
    </x:row>
    <x:row r="81" ht="15" hidden="0" customHeight="1">
      <x:c r="A81" s="10" t="s">
        <x:v>772</x:v>
      </x:c>
      <x:c r="B81" s="8" t="s">
        <x:v>773</x:v>
      </x:c>
      <x:c r="C81" s="10" t="s">
        <x:v>679</x:v>
      </x:c>
      <x:c r="D81" s="10" t="s">
        <x:v>767</x:v>
      </x:c>
      <x:c r="E81" s="8" t="s">
        <x:v>136</x:v>
      </x:c>
      <x:c r="F81" s="8" t="s">
        <x:v>691</x:v>
      </x:c>
      <x:c r="G81" s="9" t="s">
        <x:v>768</x:v>
      </x:c>
      <x:c r="H81" s="10" t="n">
        <x:v>3</x:v>
      </x:c>
      <x:c r="I81" s="8" t="n">
        <x:v>9</x:v>
      </x:c>
      <x:c r="J81" s="8" t="n">
        <x:v>13</x:v>
      </x:c>
      <x:c r="K81" s="8" t="n">
        <x:v>15</x:v>
      </x:c>
      <x:c r="L81" s="8" t="s">
        <x:v>541</x:v>
      </x:c>
      <x:c r="M81" s="8" t="n">
        <x:v>40</x:v>
      </x:c>
      <x:c r="N81" s="8" t="s">
        <x:v>542</x:v>
      </x:c>
      <x:c r="O81" s="9" t="s">
        <x:v>769</x:v>
      </x:c>
      <x:c r="P81" s="8" t="s">
        <x:v>169</x:v>
      </x:c>
      <x:c r="Q81" s="15" t="n">
        <x:v>77</x:v>
      </x:c>
    </x:row>
    <x:row r="82" ht="15" hidden="0" customHeight="1">
      <x:c r="A82" s="10" t="s">
        <x:v>774</x:v>
      </x:c>
      <x:c r="B82" s="8" t="s">
        <x:v>775</x:v>
      </x:c>
      <x:c r="C82" s="10" t="s">
        <x:v>679</x:v>
      </x:c>
      <x:c r="D82" s="10" t="s">
        <x:v>776</x:v>
      </x:c>
      <x:c r="E82" s="8" t="s">
        <x:v>777</x:v>
      </x:c>
      <x:c r="F82" s="8" t="s">
        <x:v>778</x:v>
      </x:c>
      <x:c r="G82" s="9" t="s">
        <x:v>779</x:v>
      </x:c>
      <x:c r="H82" s="10" t="n">
        <x:v>1</x:v>
      </x:c>
      <x:c r="I82" s="8" t="n">
        <x:v>1</x:v>
      </x:c>
      <x:c r="J82" s="8" t="n">
        <x:v>10</x:v>
      </x:c>
      <x:c r="K82" s="8" t="n">
        <x:v>20</x:v>
      </x:c>
      <x:c r="L82" s="8" t="s">
        <x:v>541</x:v>
      </x:c>
      <x:c r="M82" s="8" t="n">
        <x:v>100</x:v>
      </x:c>
      <x:c r="N82" s="8" t="s">
        <x:v>542</x:v>
      </x:c>
      <x:c r="O82" s="9" t="s">
        <x:v>780</x:v>
      </x:c>
      <x:c r="P82" s="8" t="s">
        <x:v>217</x:v>
      </x:c>
      <x:c r="Q82" s="15" t="n">
        <x:v>78</x:v>
      </x:c>
    </x:row>
    <x:row r="83" ht="15" hidden="0" customHeight="1">
      <x:c r="A83" s="10" t="s">
        <x:v>781</x:v>
      </x:c>
      <x:c r="B83" s="8" t="s">
        <x:v>782</x:v>
      </x:c>
      <x:c r="C83" s="10" t="s">
        <x:v>679</x:v>
      </x:c>
      <x:c r="D83" s="10" t="s">
        <x:v>776</x:v>
      </x:c>
      <x:c r="E83" s="8" t="s">
        <x:v>777</x:v>
      </x:c>
      <x:c r="F83" s="8" t="s">
        <x:v>778</x:v>
      </x:c>
      <x:c r="G83" s="9" t="s">
        <x:v>779</x:v>
      </x:c>
      <x:c r="H83" s="10" t="n">
        <x:v>2</x:v>
      </x:c>
      <x:c r="I83" s="8" t="n">
        <x:v>4</x:v>
      </x:c>
      <x:c r="J83" s="8" t="n">
        <x:v>21</x:v>
      </x:c>
      <x:c r="K83" s="8" t="n">
        <x:v>35</x:v>
      </x:c>
      <x:c r="L83" s="8" t="s">
        <x:v>541</x:v>
      </x:c>
      <x:c r="M83" s="8" t="n">
        <x:v>85</x:v>
      </x:c>
      <x:c r="N83" s="8" t="s">
        <x:v>542</x:v>
      </x:c>
      <x:c r="O83" s="9" t="s">
        <x:v>780</x:v>
      </x:c>
      <x:c r="P83" s="8" t="s">
        <x:v>217</x:v>
      </x:c>
      <x:c r="Q83" s="15" t="n">
        <x:v>79</x:v>
      </x:c>
    </x:row>
    <x:row r="84" ht="15" hidden="0" customHeight="1">
      <x:c r="A84" s="10" t="s">
        <x:v>783</x:v>
      </x:c>
      <x:c r="B84" s="8" t="s">
        <x:v>784</x:v>
      </x:c>
      <x:c r="C84" s="10" t="s">
        <x:v>679</x:v>
      </x:c>
      <x:c r="D84" s="10" t="s">
        <x:v>785</x:v>
      </x:c>
      <x:c r="E84" s="8" t="s">
        <x:v>777</x:v>
      </x:c>
      <x:c r="F84" s="8" t="s">
        <x:v>701</x:v>
      </x:c>
      <x:c r="G84" s="9" t="s">
        <x:v>786</x:v>
      </x:c>
      <x:c r="H84" s="10" t="n">
        <x:v>1</x:v>
      </x:c>
      <x:c r="I84" s="8" t="n">
        <x:v>1</x:v>
      </x:c>
      <x:c r="J84" s="8" t="n">
        <x:v>5</x:v>
      </x:c>
      <x:c r="K84" s="8" t="n">
        <x:v>10</x:v>
      </x:c>
      <x:c r="L84" s="8" t="s">
        <x:v>541</x:v>
      </x:c>
      <x:c r="M84" s="8" t="n">
        <x:v>100</x:v>
      </x:c>
      <x:c r="N84" s="8" t="s">
        <x:v>542</x:v>
      </x:c>
      <x:c r="O84" s="9" t="s">
        <x:v>787</x:v>
      </x:c>
      <x:c r="P84" s="8" t="s">
        <x:v>217</x:v>
      </x:c>
      <x:c r="Q84" s="15" t="n">
        <x:v>80</x:v>
      </x:c>
    </x:row>
    <x:row r="85" ht="15" hidden="0" customHeight="1">
      <x:c r="A85" s="10" t="s">
        <x:v>788</x:v>
      </x:c>
      <x:c r="B85" s="8" t="s">
        <x:v>789</x:v>
      </x:c>
      <x:c r="C85" s="10" t="s">
        <x:v>679</x:v>
      </x:c>
      <x:c r="D85" s="10" t="s">
        <x:v>785</x:v>
      </x:c>
      <x:c r="E85" s="8" t="s">
        <x:v>777</x:v>
      </x:c>
      <x:c r="F85" s="8" t="s">
        <x:v>701</x:v>
      </x:c>
      <x:c r="G85" s="9" t="s">
        <x:v>786</x:v>
      </x:c>
      <x:c r="H85" s="10" t="n">
        <x:v>2</x:v>
      </x:c>
      <x:c r="I85" s="8" t="n">
        <x:v>5</x:v>
      </x:c>
      <x:c r="J85" s="8" t="n">
        <x:v>11</x:v>
      </x:c>
      <x:c r="K85" s="8" t="n">
        <x:v>20</x:v>
      </x:c>
      <x:c r="L85" s="8" t="s">
        <x:v>541</x:v>
      </x:c>
      <x:c r="M85" s="8" t="n">
        <x:v>85</x:v>
      </x:c>
      <x:c r="N85" s="8" t="s">
        <x:v>542</x:v>
      </x:c>
      <x:c r="O85" s="9" t="s">
        <x:v>787</x:v>
      </x:c>
      <x:c r="P85" s="8" t="s">
        <x:v>217</x:v>
      </x:c>
      <x:c r="Q85" s="15" t="n">
        <x:v>81</x:v>
      </x:c>
    </x:row>
    <x:row r="86" ht="15" hidden="0" customHeight="1">
      <x:c r="A86" s="10" t="s">
        <x:v>790</x:v>
      </x:c>
      <x:c r="B86" s="8" t="s">
        <x:v>791</x:v>
      </x:c>
      <x:c r="C86" s="10" t="s">
        <x:v>679</x:v>
      </x:c>
      <x:c r="D86" s="10" t="s">
        <x:v>792</x:v>
      </x:c>
      <x:c r="E86" s="8" t="s">
        <x:v>777</x:v>
      </x:c>
      <x:c r="F86" s="8" t="s">
        <x:v>701</x:v>
      </x:c>
      <x:c r="G86" s="9" t="s">
        <x:v>793</x:v>
      </x:c>
      <x:c r="H86" s="10" t="n">
        <x:v>1</x:v>
      </x:c>
      <x:c r="I86" s="8" t="n">
        <x:v>3</x:v>
      </x:c>
      <x:c r="J86" s="8" t="n">
        <x:v>5</x:v>
      </x:c>
      <x:c r="K86" s="8" t="n">
        <x:v>15</x:v>
      </x:c>
      <x:c r="L86" s="8" t="s">
        <x:v>541</x:v>
      </x:c>
      <x:c r="M86" s="8" t="n">
        <x:v>50</x:v>
      </x:c>
      <x:c r="N86" s="8" t="s">
        <x:v>542</x:v>
      </x:c>
      <x:c r="O86" s="9" t="s">
        <x:v>794</x:v>
      </x:c>
      <x:c r="P86" s="8" t="s">
        <x:v>169</x:v>
      </x:c>
      <x:c r="Q86" s="15" t="n">
        <x:v>82</x:v>
      </x:c>
    </x:row>
    <x:row r="87" ht="15" hidden="0" customHeight="1">
      <x:c r="A87" s="10" t="s">
        <x:v>795</x:v>
      </x:c>
      <x:c r="B87" s="8" t="s">
        <x:v>796</x:v>
      </x:c>
      <x:c r="C87" s="10" t="s">
        <x:v>679</x:v>
      </x:c>
      <x:c r="D87" s="10" t="s">
        <x:v>792</x:v>
      </x:c>
      <x:c r="E87" s="8" t="s">
        <x:v>777</x:v>
      </x:c>
      <x:c r="F87" s="8" t="s">
        <x:v>701</x:v>
      </x:c>
      <x:c r="G87" s="9" t="s">
        <x:v>793</x:v>
      </x:c>
      <x:c r="H87" s="10" t="n">
        <x:v>2</x:v>
      </x:c>
      <x:c r="I87" s="8" t="n">
        <x:v>7</x:v>
      </x:c>
      <x:c r="J87" s="8" t="n">
        <x:v>16</x:v>
      </x:c>
      <x:c r="K87" s="8" t="n">
        <x:v>30</x:v>
      </x:c>
      <x:c r="L87" s="8" t="s">
        <x:v>541</x:v>
      </x:c>
      <x:c r="M87" s="8" t="n">
        <x:v>35</x:v>
      </x:c>
      <x:c r="N87" s="8" t="s">
        <x:v>542</x:v>
      </x:c>
      <x:c r="O87" s="9" t="s">
        <x:v>794</x:v>
      </x:c>
      <x:c r="P87" s="8" t="s">
        <x:v>169</x:v>
      </x:c>
      <x:c r="Q87" s="15" t="n">
        <x:v>83</x:v>
      </x:c>
    </x:row>
    <x:row r="88" ht="23.25" hidden="0" customHeight="1">
      <x:c r="A88" s="10" t="s">
        <x:v>797</x:v>
      </x:c>
      <x:c r="B88" s="8" t="s">
        <x:v>798</x:v>
      </x:c>
      <x:c r="C88" s="10" t="s">
        <x:v>679</x:v>
      </x:c>
      <x:c r="D88" s="10" t="s">
        <x:v>799</x:v>
      </x:c>
      <x:c r="E88" s="8" t="s">
        <x:v>800</x:v>
      </x:c>
      <x:c r="F88" s="8" t="s">
        <x:v>539</x:v>
      </x:c>
      <x:c r="G88" s="9" t="s">
        <x:v>801</x:v>
      </x:c>
      <x:c r="H88" s="10" t="n">
        <x:v>1</x:v>
      </x:c>
      <x:c r="I88" s="8" t="n">
        <x:v>3</x:v>
      </x:c>
      <x:c r="J88" s="8" t="n">
        <x:v>4</x:v>
      </x:c>
      <x:c r="K88" s="8" t="n">
        <x:v>5</x:v>
      </x:c>
      <x:c r="L88" s="8" t="s">
        <x:v>541</x:v>
      </x:c>
      <x:c r="M88" s="8" t="n">
        <x:v>50</x:v>
      </x:c>
      <x:c r="N88" s="8" t="s">
        <x:v>542</x:v>
      </x:c>
      <x:c r="O88" s="9" t="s">
        <x:v>802</x:v>
      </x:c>
      <x:c r="P88" s="8" t="s">
        <x:v>169</x:v>
      </x:c>
      <x:c r="Q88" s="15" t="n">
        <x:v>84</x:v>
      </x:c>
    </x:row>
    <x:row r="89" ht="23.25" hidden="0" customHeight="1">
      <x:c r="A89" s="10" t="s">
        <x:v>803</x:v>
      </x:c>
      <x:c r="B89" s="8" t="s">
        <x:v>804</x:v>
      </x:c>
      <x:c r="C89" s="10" t="s">
        <x:v>679</x:v>
      </x:c>
      <x:c r="D89" s="10" t="s">
        <x:v>799</x:v>
      </x:c>
      <x:c r="E89" s="8" t="s">
        <x:v>800</x:v>
      </x:c>
      <x:c r="F89" s="8" t="s">
        <x:v>539</x:v>
      </x:c>
      <x:c r="G89" s="9" t="s">
        <x:v>801</x:v>
      </x:c>
      <x:c r="H89" s="10" t="n">
        <x:v>2</x:v>
      </x:c>
      <x:c r="I89" s="8" t="n">
        <x:v>6</x:v>
      </x:c>
      <x:c r="J89" s="8" t="n">
        <x:v>6</x:v>
      </x:c>
      <x:c r="K89" s="8" t="n">
        <x:v>7</x:v>
      </x:c>
      <x:c r="L89" s="8" t="s">
        <x:v>541</x:v>
      </x:c>
      <x:c r="M89" s="8" t="n">
        <x:v>35</x:v>
      </x:c>
      <x:c r="N89" s="8" t="s">
        <x:v>542</x:v>
      </x:c>
      <x:c r="O89" s="9" t="s">
        <x:v>802</x:v>
      </x:c>
      <x:c r="P89" s="8" t="s">
        <x:v>169</x:v>
      </x:c>
      <x:c r="Q89" s="15" t="n">
        <x:v>85</x:v>
      </x:c>
    </x:row>
    <x:row r="90" ht="23.25" hidden="0" customHeight="1">
      <x:c r="A90" s="10" t="s">
        <x:v>805</x:v>
      </x:c>
      <x:c r="B90" s="8" t="s">
        <x:v>806</x:v>
      </x:c>
      <x:c r="C90" s="10" t="s">
        <x:v>679</x:v>
      </x:c>
      <x:c r="D90" s="10" t="s">
        <x:v>799</x:v>
      </x:c>
      <x:c r="E90" s="8" t="s">
        <x:v>800</x:v>
      </x:c>
      <x:c r="F90" s="8" t="s">
        <x:v>539</x:v>
      </x:c>
      <x:c r="G90" s="9" t="s">
        <x:v>801</x:v>
      </x:c>
      <x:c r="H90" s="10" t="n">
        <x:v>3</x:v>
      </x:c>
      <x:c r="I90" s="8" t="n">
        <x:v>9</x:v>
      </x:c>
      <x:c r="J90" s="8" t="n">
        <x:v>8</x:v>
      </x:c>
      <x:c r="K90" s="8" t="n">
        <x:v>10</x:v>
      </x:c>
      <x:c r="L90" s="8" t="s">
        <x:v>541</x:v>
      </x:c>
      <x:c r="M90" s="8" t="n">
        <x:v>20</x:v>
      </x:c>
      <x:c r="N90" s="8" t="s">
        <x:v>542</x:v>
      </x:c>
      <x:c r="O90" s="9" t="s">
        <x:v>802</x:v>
      </x:c>
      <x:c r="P90" s="8" t="s">
        <x:v>169</x:v>
      </x:c>
      <x:c r="Q90" s="15" t="n">
        <x:v>86</x:v>
      </x:c>
    </x:row>
    <x:row r="91" ht="23.25" hidden="0" customHeight="1">
      <x:c r="A91" s="10" t="s">
        <x:v>807</x:v>
      </x:c>
      <x:c r="B91" s="8" t="s">
        <x:v>808</x:v>
      </x:c>
      <x:c r="C91" s="10" t="s">
        <x:v>679</x:v>
      </x:c>
      <x:c r="D91" s="10" t="s">
        <x:v>809</x:v>
      </x:c>
      <x:c r="E91" s="8" t="s">
        <x:v>800</x:v>
      </x:c>
      <x:c r="F91" s="8" t="s">
        <x:v>691</x:v>
      </x:c>
      <x:c r="G91" s="9" t="s">
        <x:v>810</x:v>
      </x:c>
      <x:c r="H91" s="10" t="n">
        <x:v>1</x:v>
      </x:c>
      <x:c r="I91" s="8" t="n">
        <x:v>3</x:v>
      </x:c>
      <x:c r="J91" s="8" t="n">
        <x:v>4</x:v>
      </x:c>
      <x:c r="K91" s="8" t="n">
        <x:v>5</x:v>
      </x:c>
      <x:c r="L91" s="8" t="s">
        <x:v>541</x:v>
      </x:c>
      <x:c r="M91" s="8" t="n">
        <x:v>50</x:v>
      </x:c>
      <x:c r="N91" s="8" t="s">
        <x:v>542</x:v>
      </x:c>
      <x:c r="O91" s="9" t="s">
        <x:v>811</x:v>
      </x:c>
      <x:c r="P91" s="8" t="s">
        <x:v>217</x:v>
      </x:c>
      <x:c r="Q91" s="15" t="n">
        <x:v>87</x:v>
      </x:c>
    </x:row>
    <x:row r="92" ht="23.25" hidden="0" customHeight="1">
      <x:c r="A92" s="10" t="s">
        <x:v>812</x:v>
      </x:c>
      <x:c r="B92" s="8" t="s">
        <x:v>749</x:v>
      </x:c>
      <x:c r="C92" s="10" t="s">
        <x:v>679</x:v>
      </x:c>
      <x:c r="D92" s="10" t="s">
        <x:v>809</x:v>
      </x:c>
      <x:c r="E92" s="8" t="s">
        <x:v>800</x:v>
      </x:c>
      <x:c r="F92" s="8" t="s">
        <x:v>691</x:v>
      </x:c>
      <x:c r="G92" s="9" t="s">
        <x:v>810</x:v>
      </x:c>
      <x:c r="H92" s="10" t="n">
        <x:v>2</x:v>
      </x:c>
      <x:c r="I92" s="8" t="n">
        <x:v>6</x:v>
      </x:c>
      <x:c r="J92" s="8" t="n">
        <x:v>6</x:v>
      </x:c>
      <x:c r="K92" s="8" t="n">
        <x:v>7</x:v>
      </x:c>
      <x:c r="L92" s="8" t="s">
        <x:v>541</x:v>
      </x:c>
      <x:c r="M92" s="8" t="n">
        <x:v>35</x:v>
      </x:c>
      <x:c r="N92" s="8" t="s">
        <x:v>542</x:v>
      </x:c>
      <x:c r="O92" s="9" t="s">
        <x:v>811</x:v>
      </x:c>
      <x:c r="P92" s="8" t="s">
        <x:v>217</x:v>
      </x:c>
      <x:c r="Q92" s="15" t="n">
        <x:v>88</x:v>
      </x:c>
    </x:row>
    <x:row r="93" ht="23.25" hidden="0" customHeight="1">
      <x:c r="A93" s="10" t="s">
        <x:v>813</x:v>
      </x:c>
      <x:c r="B93" s="8" t="s">
        <x:v>814</x:v>
      </x:c>
      <x:c r="C93" s="10" t="s">
        <x:v>679</x:v>
      </x:c>
      <x:c r="D93" s="10" t="s">
        <x:v>809</x:v>
      </x:c>
      <x:c r="E93" s="8" t="s">
        <x:v>800</x:v>
      </x:c>
      <x:c r="F93" s="8" t="s">
        <x:v>691</x:v>
      </x:c>
      <x:c r="G93" s="9" t="s">
        <x:v>810</x:v>
      </x:c>
      <x:c r="H93" s="10" t="n">
        <x:v>3</x:v>
      </x:c>
      <x:c r="I93" s="8" t="n">
        <x:v>9</x:v>
      </x:c>
      <x:c r="J93" s="8" t="n">
        <x:v>8</x:v>
      </x:c>
      <x:c r="K93" s="8" t="n">
        <x:v>10</x:v>
      </x:c>
      <x:c r="L93" s="8" t="s">
        <x:v>541</x:v>
      </x:c>
      <x:c r="M93" s="8" t="n">
        <x:v>20</x:v>
      </x:c>
      <x:c r="N93" s="8" t="s">
        <x:v>542</x:v>
      </x:c>
      <x:c r="O93" s="9" t="s">
        <x:v>811</x:v>
      </x:c>
      <x:c r="P93" s="8" t="s">
        <x:v>217</x:v>
      </x:c>
      <x:c r="Q93" s="15" t="n">
        <x:v>89</x:v>
      </x:c>
    </x:row>
    <x:row r="94" ht="15" hidden="0" customHeight="1">
      <x:c r="A94" s="10" t="s">
        <x:v>815</x:v>
      </x:c>
      <x:c r="B94" s="8" t="s">
        <x:v>816</x:v>
      </x:c>
      <x:c r="C94" s="10" t="s">
        <x:v>679</x:v>
      </x:c>
      <x:c r="D94" s="10" t="s">
        <x:v>817</x:v>
      </x:c>
      <x:c r="E94" s="8" t="s">
        <x:v>800</x:v>
      </x:c>
      <x:c r="F94" s="8" t="s">
        <x:v>539</x:v>
      </x:c>
      <x:c r="G94" s="9" t="s">
        <x:v>818</x:v>
      </x:c>
      <x:c r="H94" s="10" t="n">
        <x:v>1</x:v>
      </x:c>
      <x:c r="I94" s="8" t="n">
        <x:v>3</x:v>
      </x:c>
      <x:c r="J94" s="8" t="n">
        <x:v>4</x:v>
      </x:c>
      <x:c r="K94" s="8" t="n">
        <x:v>5</x:v>
      </x:c>
      <x:c r="L94" s="8" t="s">
        <x:v>541</x:v>
      </x:c>
      <x:c r="M94" s="8" t="n">
        <x:v>50</x:v>
      </x:c>
      <x:c r="N94" s="8" t="s">
        <x:v>542</x:v>
      </x:c>
      <x:c r="O94" s="9" t="s">
        <x:v>811</x:v>
      </x:c>
      <x:c r="P94" s="8" t="s">
        <x:v>169</x:v>
      </x:c>
      <x:c r="Q94" s="15" t="n">
        <x:v>90</x:v>
      </x:c>
    </x:row>
    <x:row r="95" ht="15" hidden="0" customHeight="1">
      <x:c r="A95" s="10" t="s">
        <x:v>819</x:v>
      </x:c>
      <x:c r="B95" s="8" t="s">
        <x:v>820</x:v>
      </x:c>
      <x:c r="C95" s="10" t="s">
        <x:v>679</x:v>
      </x:c>
      <x:c r="D95" s="10" t="s">
        <x:v>817</x:v>
      </x:c>
      <x:c r="E95" s="8" t="s">
        <x:v>800</x:v>
      </x:c>
      <x:c r="F95" s="8" t="s">
        <x:v>539</x:v>
      </x:c>
      <x:c r="G95" s="9" t="s">
        <x:v>818</x:v>
      </x:c>
      <x:c r="H95" s="10" t="n">
        <x:v>2</x:v>
      </x:c>
      <x:c r="I95" s="8" t="n">
        <x:v>7</x:v>
      </x:c>
      <x:c r="J95" s="8" t="n">
        <x:v>6</x:v>
      </x:c>
      <x:c r="K95" s="8" t="n">
        <x:v>8</x:v>
      </x:c>
      <x:c r="L95" s="8" t="s">
        <x:v>541</x:v>
      </x:c>
      <x:c r="M95" s="8" t="n">
        <x:v>35</x:v>
      </x:c>
      <x:c r="N95" s="8" t="s">
        <x:v>542</x:v>
      </x:c>
      <x:c r="O95" s="9" t="s">
        <x:v>811</x:v>
      </x:c>
      <x:c r="P95" s="8" t="s">
        <x:v>169</x:v>
      </x:c>
      <x:c r="Q95" s="15" t="n">
        <x:v>91</x:v>
      </x:c>
    </x:row>
    <x:row r="96" ht="15" hidden="0" customHeight="1">
      <x:c r="A96" s="10" t="s">
        <x:v>821</x:v>
      </x:c>
      <x:c r="B96" s="8" t="s">
        <x:v>822</x:v>
      </x:c>
      <x:c r="C96" s="10" t="s">
        <x:v>679</x:v>
      </x:c>
      <x:c r="D96" s="10" t="s">
        <x:v>823</x:v>
      </x:c>
      <x:c r="E96" s="8" t="s">
        <x:v>800</x:v>
      </x:c>
      <x:c r="F96" s="8" t="s">
        <x:v>691</x:v>
      </x:c>
      <x:c r="G96" s="9" t="s">
        <x:v>824</x:v>
      </x:c>
      <x:c r="H96" s="10" t="n">
        <x:v>1</x:v>
      </x:c>
      <x:c r="I96" s="8" t="n">
        <x:v>3</x:v>
      </x:c>
      <x:c r="J96" s="8" t="n">
        <x:v>4</x:v>
      </x:c>
      <x:c r="K96" s="8" t="n">
        <x:v>6</x:v>
      </x:c>
      <x:c r="L96" s="8" t="s">
        <x:v>541</x:v>
      </x:c>
      <x:c r="M96" s="8" t="n">
        <x:v>50</x:v>
      </x:c>
      <x:c r="N96" s="8" t="s">
        <x:v>542</x:v>
      </x:c>
      <x:c r="O96" s="9" t="s">
        <x:v>811</x:v>
      </x:c>
      <x:c r="P96" s="8" t="s">
        <x:v>217</x:v>
      </x:c>
      <x:c r="Q96" s="15" t="n">
        <x:v>92</x:v>
      </x:c>
    </x:row>
    <x:row r="97" ht="15" hidden="0" customHeight="1">
      <x:c r="A97" s="10" t="s">
        <x:v>825</x:v>
      </x:c>
      <x:c r="B97" s="8" t="s">
        <x:v>826</x:v>
      </x:c>
      <x:c r="C97" s="10" t="s">
        <x:v>679</x:v>
      </x:c>
      <x:c r="D97" s="10" t="s">
        <x:v>823</x:v>
      </x:c>
      <x:c r="E97" s="8" t="s">
        <x:v>800</x:v>
      </x:c>
      <x:c r="F97" s="8" t="s">
        <x:v>691</x:v>
      </x:c>
      <x:c r="G97" s="9" t="s">
        <x:v>824</x:v>
      </x:c>
      <x:c r="H97" s="10" t="n">
        <x:v>2</x:v>
      </x:c>
      <x:c r="I97" s="8" t="n">
        <x:v>7</x:v>
      </x:c>
      <x:c r="J97" s="8" t="n">
        <x:v>7</x:v>
      </x:c>
      <x:c r="K97" s="8" t="n">
        <x:v>9</x:v>
      </x:c>
      <x:c r="L97" s="8" t="s">
        <x:v>541</x:v>
      </x:c>
      <x:c r="M97" s="8" t="n">
        <x:v>35</x:v>
      </x:c>
      <x:c r="N97" s="8" t="s">
        <x:v>542</x:v>
      </x:c>
      <x:c r="O97" s="9" t="s">
        <x:v>811</x:v>
      </x:c>
      <x:c r="P97" s="8" t="s">
        <x:v>217</x:v>
      </x:c>
      <x:c r="Q97" s="15" t="n">
        <x:v>93</x:v>
      </x:c>
    </x:row>
    <x:row r="98" ht="15" hidden="0" customHeight="1">
      <x:c r="A98" s="10" t="s">
        <x:v>827</x:v>
      </x:c>
      <x:c r="B98" s="8" t="s">
        <x:v>828</x:v>
      </x:c>
      <x:c r="C98" s="10" t="s">
        <x:v>679</x:v>
      </x:c>
      <x:c r="D98" s="10" t="s">
        <x:v>829</x:v>
      </x:c>
      <x:c r="E98" s="8" t="s">
        <x:v>800</x:v>
      </x:c>
      <x:c r="F98" s="8" t="s">
        <x:v>691</x:v>
      </x:c>
      <x:c r="G98" s="9" t="s">
        <x:v>830</x:v>
      </x:c>
      <x:c r="H98" s="10" t="n">
        <x:v>1</x:v>
      </x:c>
      <x:c r="I98" s="8" t="n">
        <x:v>4</x:v>
      </x:c>
      <x:c r="J98" s="8" t="n">
        <x:v>3</x:v>
      </x:c>
      <x:c r="K98" s="8" t="n">
        <x:v>4</x:v>
      </x:c>
      <x:c r="L98" s="8" t="s">
        <x:v>541</x:v>
      </x:c>
      <x:c r="M98" s="8" t="n">
        <x:v>40</x:v>
      </x:c>
      <x:c r="N98" s="8" t="s">
        <x:v>542</x:v>
      </x:c>
      <x:c r="O98" s="9" t="s">
        <x:v>831</x:v>
      </x:c>
      <x:c r="P98" s="8" t="s">
        <x:v>217</x:v>
      </x:c>
      <x:c r="Q98" s="15" t="n">
        <x:v>94</x:v>
      </x:c>
    </x:row>
    <x:row r="99" ht="15" hidden="0" customHeight="1">
      <x:c r="A99" s="10" t="s">
        <x:v>832</x:v>
      </x:c>
      <x:c r="B99" s="8" t="s">
        <x:v>833</x:v>
      </x:c>
      <x:c r="C99" s="10" t="s">
        <x:v>679</x:v>
      </x:c>
      <x:c r="D99" s="10" t="s">
        <x:v>829</x:v>
      </x:c>
      <x:c r="E99" s="8" t="s">
        <x:v>800</x:v>
      </x:c>
      <x:c r="F99" s="8" t="s">
        <x:v>691</x:v>
      </x:c>
      <x:c r="G99" s="9" t="s">
        <x:v>830</x:v>
      </x:c>
      <x:c r="H99" s="10" t="n">
        <x:v>2</x:v>
      </x:c>
      <x:c r="I99" s="8" t="n">
        <x:v>8</x:v>
      </x:c>
      <x:c r="J99" s="8" t="n">
        <x:v>5</x:v>
      </x:c>
      <x:c r="K99" s="8" t="n">
        <x:v>6</x:v>
      </x:c>
      <x:c r="L99" s="8" t="s">
        <x:v>541</x:v>
      </x:c>
      <x:c r="M99" s="8" t="n">
        <x:v>25</x:v>
      </x:c>
      <x:c r="N99" s="8" t="s">
        <x:v>542</x:v>
      </x:c>
      <x:c r="O99" s="9" t="s">
        <x:v>831</x:v>
      </x:c>
      <x:c r="P99" s="8" t="s">
        <x:v>217</x:v>
      </x:c>
      <x:c r="Q99" s="15" t="n">
        <x:v>95</x:v>
      </x:c>
    </x:row>
    <x:row r="100" ht="15" hidden="0" customHeight="1">
      <x:c r="A100" s="10" t="s">
        <x:v>834</x:v>
      </x:c>
      <x:c r="B100" s="8" t="s">
        <x:v>835</x:v>
      </x:c>
      <x:c r="C100" s="10" t="s">
        <x:v>679</x:v>
      </x:c>
      <x:c r="D100" s="10" t="s">
        <x:v>836</x:v>
      </x:c>
      <x:c r="E100" s="8" t="s">
        <x:v>800</x:v>
      </x:c>
      <x:c r="F100" s="8" t="s">
        <x:v>701</x:v>
      </x:c>
      <x:c r="G100" s="9" t="s">
        <x:v>837</x:v>
      </x:c>
      <x:c r="H100" s="10" t="n">
        <x:v>1</x:v>
      </x:c>
      <x:c r="I100" s="8" t="n">
        <x:v>3</x:v>
      </x:c>
      <x:c r="J100" s="8" t="n">
        <x:v>3</x:v>
      </x:c>
      <x:c r="K100" s="8" t="n">
        <x:v>4</x:v>
      </x:c>
      <x:c r="L100" s="8" t="s">
        <x:v>541</x:v>
      </x:c>
      <x:c r="M100" s="8" t="n">
        <x:v>40</x:v>
      </x:c>
      <x:c r="N100" s="8" t="s">
        <x:v>542</x:v>
      </x:c>
      <x:c r="O100" s="9" t="s">
        <x:v>811</x:v>
      </x:c>
      <x:c r="P100" s="8" t="s">
        <x:v>169</x:v>
      </x:c>
      <x:c r="Q100" s="15" t="n">
        <x:v>96</x:v>
      </x:c>
    </x:row>
    <x:row r="101" ht="15" hidden="0" customHeight="1">
      <x:c r="A101" s="10" t="s">
        <x:v>838</x:v>
      </x:c>
      <x:c r="B101" s="8" t="s">
        <x:v>839</x:v>
      </x:c>
      <x:c r="C101" s="10" t="s">
        <x:v>679</x:v>
      </x:c>
      <x:c r="D101" s="10" t="s">
        <x:v>836</x:v>
      </x:c>
      <x:c r="E101" s="8" t="s">
        <x:v>800</x:v>
      </x:c>
      <x:c r="F101" s="8" t="s">
        <x:v>701</x:v>
      </x:c>
      <x:c r="G101" s="9" t="s">
        <x:v>837</x:v>
      </x:c>
      <x:c r="H101" s="10" t="n">
        <x:v>2</x:v>
      </x:c>
      <x:c r="I101" s="8" t="n">
        <x:v>7</x:v>
      </x:c>
      <x:c r="J101" s="8" t="n">
        <x:v>5</x:v>
      </x:c>
      <x:c r="K101" s="8" t="n">
        <x:v>6</x:v>
      </x:c>
      <x:c r="L101" s="8" t="s">
        <x:v>541</x:v>
      </x:c>
      <x:c r="M101" s="8" t="n">
        <x:v>25</x:v>
      </x:c>
      <x:c r="N101" s="8" t="s">
        <x:v>542</x:v>
      </x:c>
      <x:c r="O101" s="9" t="s">
        <x:v>811</x:v>
      </x:c>
      <x:c r="P101" s="8" t="s">
        <x:v>169</x:v>
      </x:c>
      <x:c r="Q101" s="15" t="n">
        <x:v>97</x:v>
      </x:c>
    </x:row>
    <x:row r="102" ht="15" hidden="0" customHeight="1">
      <x:c r="A102" s="10" t="s">
        <x:v>840</x:v>
      </x:c>
      <x:c r="B102" s="8" t="s">
        <x:v>841</x:v>
      </x:c>
      <x:c r="C102" s="10" t="s">
        <x:v>679</x:v>
      </x:c>
      <x:c r="D102" s="10" t="s">
        <x:v>842</x:v>
      </x:c>
      <x:c r="E102" s="8" t="s">
        <x:v>800</x:v>
      </x:c>
      <x:c r="F102" s="8" t="s">
        <x:v>539</x:v>
      </x:c>
      <x:c r="G102" s="9" t="s">
        <x:v>843</x:v>
      </x:c>
      <x:c r="H102" s="10" t="n">
        <x:v>1</x:v>
      </x:c>
      <x:c r="I102" s="8" t="n">
        <x:v>5</x:v>
      </x:c>
      <x:c r="J102" s="8" t="n">
        <x:v>8</x:v>
      </x:c>
      <x:c r="K102" s="8" t="n">
        <x:v>12</x:v>
      </x:c>
      <x:c r="L102" s="8" t="s">
        <x:v>541</x:v>
      </x:c>
      <x:c r="M102" s="8" t="n">
        <x:v>40</x:v>
      </x:c>
      <x:c r="N102" s="8" t="s">
        <x:v>542</x:v>
      </x:c>
      <x:c r="O102" s="9" t="s">
        <x:v>844</x:v>
      </x:c>
      <x:c r="P102" s="8" t="s">
        <x:v>217</x:v>
      </x:c>
      <x:c r="Q102" s="15" t="n">
        <x:v>98</x:v>
      </x:c>
    </x:row>
    <x:row r="103" ht="15" hidden="0" customHeight="1">
      <x:c r="A103" s="10" t="s">
        <x:v>845</x:v>
      </x:c>
      <x:c r="B103" s="8" t="s">
        <x:v>846</x:v>
      </x:c>
      <x:c r="C103" s="10" t="s">
        <x:v>679</x:v>
      </x:c>
      <x:c r="D103" s="10" t="s">
        <x:v>842</x:v>
      </x:c>
      <x:c r="E103" s="8" t="s">
        <x:v>800</x:v>
      </x:c>
      <x:c r="F103" s="8" t="s">
        <x:v>539</x:v>
      </x:c>
      <x:c r="G103" s="9" t="s">
        <x:v>843</x:v>
      </x:c>
      <x:c r="H103" s="10" t="n">
        <x:v>2</x:v>
      </x:c>
      <x:c r="I103" s="8" t="n">
        <x:v>9</x:v>
      </x:c>
      <x:c r="J103" s="8" t="n">
        <x:v>13</x:v>
      </x:c>
      <x:c r="K103" s="8" t="n">
        <x:v>18</x:v>
      </x:c>
      <x:c r="L103" s="8" t="s">
        <x:v>541</x:v>
      </x:c>
      <x:c r="M103" s="8" t="n">
        <x:v>25</x:v>
      </x:c>
      <x:c r="N103" s="8" t="s">
        <x:v>542</x:v>
      </x:c>
      <x:c r="O103" s="9" t="s">
        <x:v>844</x:v>
      </x:c>
      <x:c r="P103" s="8" t="s">
        <x:v>217</x:v>
      </x:c>
      <x:c r="Q103" s="15" t="n">
        <x:v>99</x:v>
      </x:c>
    </x:row>
    <x:row r="104" ht="15" hidden="0" customHeight="1">
      <x:c r="A104" s="10" t="s">
        <x:v>847</x:v>
      </x:c>
      <x:c r="B104" s="8" t="s">
        <x:v>848</x:v>
      </x:c>
      <x:c r="C104" s="10" t="s">
        <x:v>679</x:v>
      </x:c>
      <x:c r="D104" s="10" t="s">
        <x:v>849</x:v>
      </x:c>
      <x:c r="E104" s="8" t="s">
        <x:v>800</x:v>
      </x:c>
      <x:c r="F104" s="8" t="s">
        <x:v>701</x:v>
      </x:c>
      <x:c r="G104" s="9" t="s">
        <x:v>850</x:v>
      </x:c>
      <x:c r="H104" s="10" t="n">
        <x:v>1</x:v>
      </x:c>
      <x:c r="I104" s="8" t="n">
        <x:v>8</x:v>
      </x:c>
      <x:c r="J104" s="8" t="n">
        <x:v>20</x:v>
      </x:c>
      <x:c r="K104" s="8" t="n">
        <x:v>30</x:v>
      </x:c>
      <x:c r="L104" s="8" t="s">
        <x:v>541</x:v>
      </x:c>
      <x:c r="M104" s="8" t="n">
        <x:v>10</x:v>
      </x:c>
      <x:c r="N104" s="8" t="s">
        <x:v>542</x:v>
      </x:c>
      <x:c r="O104" s="9" t="s">
        <x:v>851</x:v>
      </x:c>
      <x:c r="P104" s="8" t="s">
        <x:v>217</x:v>
      </x:c>
      <x:c r="Q104" s="15" t="n">
        <x:v>100</x:v>
      </x:c>
    </x:row>
    <x:row r="105" ht="15" hidden="0"/>
    <x:row r="106" ht="15" hidden="0" customHeight="1">
      <x:c r="A106" s="4" t="s">
        <x:v>852</x:v>
      </x:c>
    </x:row>
    <x:row r="107" ht="15" hidden="0" customHeight="1">
      <x:c r="A107" s="10" t="s">
        <x:v>564</x:v>
      </x:c>
      <x:c r="B107" s="10" t="n">
        <x:f aca="0">COUNTIF($F$5:$F$104,"*Collar*")</x:f>
        <x:v>0</x:v>
      </x:c>
    </x:row>
    <x:row r="108" ht="15" hidden="0" customHeight="1">
      <x:c r="A108" s="10" t="s">
        <x:v>649</x:v>
      </x:c>
      <x:c r="B108" s="10" t="n">
        <x:f aca="0">COUNTIF($F$5:$F$104,"*Harness*")</x:f>
        <x:v>0</x:v>
      </x:c>
    </x:row>
    <x:row r="109" ht="15" hidden="0" customHeight="1">
      <x:c r="A109" s="10" t="s">
        <x:v>701</x:v>
      </x:c>
      <x:c r="B109" s="10" t="n">
        <x:f aca="0">COUNTIF($F$5:$F$104,"*Charm*")</x:f>
        <x:v>0</x:v>
      </x:c>
    </x:row>
  </x:sheetData>
  <x:dataValidations count="1">
    <x:dataValidation type="list" errorStyle="stop" operator="between" allowBlank="0" showDropDown="0" showInputMessage="0" showErrorMessage="0" sqref="C5:C144">
      <x:formula1>"Prefix,Suffix"</x:formula1>
      <x:formula2>0</x:formula2>
    </x:dataValidation>
  </x:dataValidations>
  <x:pageMargins left="0.7" right="0.7" top="0.75" bottom="0.75" header="0.3" footer="0.3"/>
  <x:legacyDrawing xmlns:r="http://schemas.openxmlformats.org/officeDocument/2006/relationships" r:id="R0045ca2770ea40e1"/>
</x:worksheet>
</file>

<file path=xl/worksheets/sheet8.xml><?xml version="1.0" encoding="utf-8"?>
<x:worksheet xmlns:x="http://schemas.openxmlformats.org/spreadsheetml/2006/main">
  <x:sheetViews>
    <x:sheetView showGridLines="1" workbookViewId="0"/>
  </x:sheetViews>
  <x:sheetFormatPr defaultColWidth="8.6796875" defaultRowHeight="15"/>
  <x:cols>
    <x:col min="1" max="1" width="16" style="1" hidden="0" customWidth="1"/>
    <x:col min="2" max="2" width="46" style="1" hidden="0" customWidth="1"/>
    <x:col min="3" max="4" width="10" style="1" hidden="0" customWidth="1"/>
    <x:col min="5" max="5" width="12" style="1" hidden="0" customWidth="1"/>
    <x:col min="6" max="6" width="10" style="1" hidden="0" customWidth="1"/>
    <x:col min="7" max="7" width="18" style="1" hidden="0" customWidth="1"/>
    <x:col min="8" max="8" width="30" style="1" hidden="0" customWidth="1"/>
    <x:col min="9" max="9" width="36" style="1" hidden="0" customWidth="1"/>
  </x:cols>
  <x:sheetData>
    <x:row r="1" ht="17.25" hidden="0" customHeight="1">
      <x:c r="A1" s="2" t="s">
        <x:v>853</x:v>
      </x:c>
    </x:row>
    <x:row r="2" ht="15" hidden="0" customHeight="1">
      <x:c r="A2" s="3" t="s">
        <x:v>854</x:v>
      </x:c>
    </x:row>
    <x:row r="4" ht="31.5" hidden="0" customHeight="1">
      <x:c r="A4" s="7" t="s">
        <x:v>800</x:v>
      </x:c>
      <x:c r="B4" s="7" t="s">
        <x:v>142</x:v>
      </x:c>
      <x:c r="C4" s="7" t="s">
        <x:v>855</x:v>
      </x:c>
      <x:c r="D4" s="7" t="s">
        <x:v>148</x:v>
      </x:c>
      <x:c r="E4" s="7" t="s">
        <x:v>856</x:v>
      </x:c>
      <x:c r="F4" s="7" t="s">
        <x:v>31</x:v>
      </x:c>
      <x:c r="G4" s="7" t="s">
        <x:v>857</x:v>
      </x:c>
      <x:c r="H4" s="7" t="s">
        <x:v>858</x:v>
      </x:c>
      <x:c r="I4" s="7" t="s">
        <x:v>158</x:v>
      </x:c>
    </x:row>
    <x:row r="5" ht="23.25" hidden="0" customHeight="1">
      <x:c r="A5" s="10" t="s">
        <x:v>859</x:v>
      </x:c>
      <x:c r="B5" s="9" t="s">
        <x:v>860</x:v>
      </x:c>
      <x:c r="C5" s="8" t="n">
        <x:v>20</x:v>
      </x:c>
      <x:c r="D5" s="8" t="n">
        <x:v>15</x:v>
      </x:c>
      <x:c r="E5" s="10" t="n">
        <x:f aca="0">C5+D5*17</x:f>
        <x:v>275</x:v>
      </x:c>
      <x:c r="F5" s="8" t="s">
        <x:v>576</x:v>
      </x:c>
      <x:c r="G5" s="9" t="s">
        <x:v>861</x:v>
      </x:c>
      <x:c r="H5" s="9" t="s">
        <x:v>862</x:v>
      </x:c>
      <x:c r="I5" s="9" t="s">
        <x:v>863</x:v>
      </x:c>
    </x:row>
    <x:row r="6" ht="15" hidden="0" customHeight="1">
      <x:c r="A6" s="10" t="s">
        <x:v>304</x:v>
      </x:c>
      <x:c r="B6" s="9" t="s">
        <x:v>864</x:v>
      </x:c>
      <x:c r="C6" s="8" t="n">
        <x:v>15</x:v>
      </x:c>
      <x:c r="D6" s="8" t="n">
        <x:v>12</x:v>
      </x:c>
      <x:c r="E6" s="10" t="n">
        <x:f aca="0">C6+D6*17</x:f>
        <x:v>219</x:v>
      </x:c>
      <x:c r="F6" s="8" t="s">
        <x:v>576</x:v>
      </x:c>
      <x:c r="G6" s="9" t="s">
        <x:v>865</x:v>
      </x:c>
      <x:c r="H6" s="9" t="s">
        <x:v>866</x:v>
      </x:c>
      <x:c r="I6" s="9" t="s">
        <x:v>867</x:v>
      </x:c>
    </x:row>
    <x:row r="7" ht="15" hidden="0" customHeight="1">
      <x:c r="A7" s="10" t="s">
        <x:v>868</x:v>
      </x:c>
      <x:c r="B7" s="9" t="s">
        <x:v>869</x:v>
      </x:c>
      <x:c r="C7" s="8" t="n">
        <x:v>18</x:v>
      </x:c>
      <x:c r="D7" s="8" t="n">
        <x:v>14</x:v>
      </x:c>
      <x:c r="E7" s="10" t="n">
        <x:f aca="0">C7+D7*17</x:f>
        <x:v>256</x:v>
      </x:c>
      <x:c r="F7" s="8" t="s">
        <x:v>576</x:v>
      </x:c>
      <x:c r="G7" s="9" t="s">
        <x:v>870</x:v>
      </x:c>
      <x:c r="H7" s="9" t="s">
        <x:v>871</x:v>
      </x:c>
      <x:c r="I7" s="9" t="s">
        <x:v>872</x:v>
      </x:c>
    </x:row>
    <x:row r="8" ht="15" hidden="0" customHeight="1">
      <x:c r="A8" s="10" t="s">
        <x:v>873</x:v>
      </x:c>
      <x:c r="B8" s="9" t="s">
        <x:v>874</x:v>
      </x:c>
      <x:c r="C8" s="8" t="n">
        <x:v>25</x:v>
      </x:c>
      <x:c r="D8" s="8" t="n">
        <x:v>18</x:v>
      </x:c>
      <x:c r="E8" s="10" t="n">
        <x:f aca="0">C8+D8*17</x:f>
        <x:v>331</x:v>
      </x:c>
      <x:c r="F8" s="8" t="s">
        <x:v>576</x:v>
      </x:c>
      <x:c r="G8" s="9" t="s">
        <x:v>875</x:v>
      </x:c>
      <x:c r="H8" s="9" t="s">
        <x:v>876</x:v>
      </x:c>
      <x:c r="I8" s="9" t="s">
        <x:v>877</x:v>
      </x:c>
    </x:row>
    <x:row r="9" ht="15" hidden="0" customHeight="1">
      <x:c r="A9" s="10" t="s">
        <x:v>878</x:v>
      </x:c>
      <x:c r="B9" s="9" t="s">
        <x:v>879</x:v>
      </x:c>
      <x:c r="C9" s="8" t="n">
        <x:v>2</x:v>
      </x:c>
      <x:c r="D9" s="8" t="n">
        <x:v>0.25</x:v>
      </x:c>
      <x:c r="E9" s="10" t="n">
        <x:f aca="0">C9+D9*17</x:f>
        <x:v>6.25</x:v>
      </x:c>
      <x:c r="F9" s="8" t="s">
        <x:v>166</x:v>
      </x:c>
      <x:c r="G9" s="9" t="s">
        <x:v>880</x:v>
      </x:c>
      <x:c r="H9" s="9" t="s">
        <x:v>881</x:v>
      </x:c>
      <x:c r="I9" s="9" t="s">
        <x:v>882</x:v>
      </x:c>
    </x:row>
    <x:row r="10" ht="15" hidden="0" customHeight="1">
      <x:c r="A10" s="10" t="s">
        <x:v>371</x:v>
      </x:c>
      <x:c r="B10" s="9" t="s">
        <x:v>883</x:v>
      </x:c>
      <x:c r="C10" s="8" t="n">
        <x:v>3</x:v>
      </x:c>
      <x:c r="D10" s="8" t="n">
        <x:v>0.4</x:v>
      </x:c>
      <x:c r="E10" s="10" t="n">
        <x:f aca="0">C10+D10*17</x:f>
        <x:v>9.8</x:v>
      </x:c>
      <x:c r="F10" s="8" t="s">
        <x:v>201</x:v>
      </x:c>
      <x:c r="G10" s="9" t="s">
        <x:v>884</x:v>
      </x:c>
      <x:c r="H10" s="9" t="s">
        <x:v>885</x:v>
      </x:c>
      <x:c r="I10" s="9" t="s">
        <x:v>886</x:v>
      </x:c>
    </x:row>
    <x:row r="11" ht="23.25" hidden="0" customHeight="1">
      <x:c r="A11" s="10" t="s">
        <x:v>887</x:v>
      </x:c>
      <x:c r="B11" s="9" t="s">
        <x:v>888</x:v>
      </x:c>
      <x:c r="C11" s="8" t="n">
        <x:v>20</x:v>
      </x:c>
      <x:c r="D11" s="8" t="n">
        <x:v>2</x:v>
      </x:c>
      <x:c r="E11" s="10" t="n">
        <x:f aca="0">C11+D11*17</x:f>
        <x:v>54</x:v>
      </x:c>
      <x:c r="F11" s="8" t="s">
        <x:v>889</x:v>
      </x:c>
      <x:c r="G11" s="9" t="s">
        <x:v>875</x:v>
      </x:c>
      <x:c r="H11" s="9" t="s">
        <x:v>890</x:v>
      </x:c>
      <x:c r="I11" s="9" t="s">
        <x:v>891</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s>
  <x:sheetData>
    <x:row r="1" ht="36" customHeight="1">
      <x:c r="A1" s="31" t="str">
        <x:v>Pet</x:v>
      </x:c>
      <x:c r="B1" s="31" t="str">
        <x:v>Row</x:v>
      </x:c>
      <x:c r="C1" s="31" t="str">
        <x:v>Template skill ID</x:v>
      </x:c>
      <x:c r="D1" s="31" t="str">
        <x:v>Tier I level</x:v>
      </x:c>
      <x:c r="E1" s="31" t="str">
        <x:v>Tier II level</x:v>
      </x:c>
      <x:c r="F1" s="31" t="str">
        <x:v>Tier III level</x:v>
      </x:c>
      <x:c r="G1" s="31" t="str">
        <x:v>Tier III max pet level</x:v>
      </x:c>
    </x:row>
    <x:row r="2">
      <x:c r="A2" s="25" t="str">
        <x:v>Wolf</x:v>
      </x:c>
      <x:c r="B2" s="25" t="n">
        <x:v>0</x:v>
      </x:c>
      <x:c r="C2" s="25" t="n">
        <x:v>1</x:v>
      </x:c>
      <x:c r="D2" s="25" t="n">
        <x:v>10</x:v>
      </x:c>
      <x:c r="E2" s="25" t="n">
        <x:v>40</x:v>
      </x:c>
      <x:c r="F2" s="25" t="n">
        <x:v>90</x:v>
      </x:c>
      <x:c r="G2" s="25" t="n">
        <x:v>120</x:v>
      </x:c>
    </x:row>
    <x:row r="3">
      <x:c r="A3" s="25" t="str">
        <x:v>Wolf</x:v>
      </x:c>
      <x:c r="B3" s="25" t="n">
        <x:v>1</x:v>
      </x:c>
      <x:c r="C3" s="25" t="n">
        <x:v>4</x:v>
      </x:c>
      <x:c r="D3" s="25" t="n">
        <x:v>10</x:v>
      </x:c>
      <x:c r="E3" s="25" t="n">
        <x:v>40</x:v>
      </x:c>
      <x:c r="F3" s="25" t="n">
        <x:v>90</x:v>
      </x:c>
      <x:c r="G3" s="25" t="n">
        <x:v>120</x:v>
      </x:c>
    </x:row>
    <x:row r="4">
      <x:c r="A4" s="25" t="str">
        <x:v>Wolf</x:v>
      </x:c>
      <x:c r="B4" s="25" t="n">
        <x:v>2</x:v>
      </x:c>
      <x:c r="C4" s="25" t="n">
        <x:v>7</x:v>
      </x:c>
      <x:c r="D4" s="25" t="n">
        <x:v>10</x:v>
      </x:c>
      <x:c r="E4" s="25" t="n">
        <x:v>40</x:v>
      </x:c>
      <x:c r="F4" s="25" t="n">
        <x:v>90</x:v>
      </x:c>
      <x:c r="G4" s="25" t="n">
        <x:v>120</x:v>
      </x:c>
    </x:row>
    <x:row r="5">
      <x:c r="A5" s="25" t="str">
        <x:v>Wolf</x:v>
      </x:c>
      <x:c r="B5" s="25" t="n">
        <x:v>3</x:v>
      </x:c>
      <x:c r="C5" s="25" t="n">
        <x:v>11</x:v>
      </x:c>
      <x:c r="D5" s="25" t="n">
        <x:v>10</x:v>
      </x:c>
      <x:c r="E5" s="25" t="n">
        <x:v>40</x:v>
      </x:c>
      <x:c r="F5" s="25" t="n">
        <x:v>90</x:v>
      </x:c>
      <x:c r="G5" s="25" t="n">
        <x:v>120</x:v>
      </x:c>
    </x:row>
    <x:row r="6">
      <x:c r="A6" s="25" t="str">
        <x:v>Wolf</x:v>
      </x:c>
      <x:c r="B6" s="25" t="n">
        <x:v>4</x:v>
      </x:c>
      <x:c r="C6" s="25" t="n">
        <x:v>13</x:v>
      </x:c>
      <x:c r="D6" s="25" t="n">
        <x:v>10</x:v>
      </x:c>
      <x:c r="E6" s="25" t="n">
        <x:v>40</x:v>
      </x:c>
      <x:c r="F6" s="25" t="n">
        <x:v>90</x:v>
      </x:c>
      <x:c r="G6" s="25" t="n">
        <x:v>120</x:v>
      </x:c>
    </x:row>
    <x:row r="7">
      <x:c r="A7" s="25" t="str">
        <x:v>Bear</x:v>
      </x:c>
      <x:c r="B7" s="25" t="n">
        <x:v>0</x:v>
      </x:c>
      <x:c r="C7" s="25" t="n">
        <x:v>16</x:v>
      </x:c>
      <x:c r="D7" s="25" t="n">
        <x:v>10</x:v>
      </x:c>
      <x:c r="E7" s="25" t="n">
        <x:v>40</x:v>
      </x:c>
      <x:c r="F7" s="25" t="n">
        <x:v>90</x:v>
      </x:c>
      <x:c r="G7" s="25" t="n">
        <x:v>120</x:v>
      </x:c>
    </x:row>
    <x:row r="8">
      <x:c r="A8" s="25" t="str">
        <x:v>Bear</x:v>
      </x:c>
      <x:c r="B8" s="25" t="n">
        <x:v>1</x:v>
      </x:c>
      <x:c r="C8" s="25" t="n">
        <x:v>20</x:v>
      </x:c>
      <x:c r="D8" s="25" t="n">
        <x:v>10</x:v>
      </x:c>
      <x:c r="E8" s="25" t="n">
        <x:v>40</x:v>
      </x:c>
      <x:c r="F8" s="25" t="n">
        <x:v>90</x:v>
      </x:c>
      <x:c r="G8" s="25" t="n">
        <x:v>120</x:v>
      </x:c>
    </x:row>
    <x:row r="9">
      <x:c r="A9" s="25" t="str">
        <x:v>Bear</x:v>
      </x:c>
      <x:c r="B9" s="25" t="n">
        <x:v>2</x:v>
      </x:c>
      <x:c r="C9" s="25" t="n">
        <x:v>22</x:v>
      </x:c>
      <x:c r="D9" s="25" t="n">
        <x:v>10</x:v>
      </x:c>
      <x:c r="E9" s="25" t="n">
        <x:v>40</x:v>
      </x:c>
      <x:c r="F9" s="25" t="n">
        <x:v>90</x:v>
      </x:c>
      <x:c r="G9" s="25" t="n">
        <x:v>120</x:v>
      </x:c>
    </x:row>
    <x:row r="10">
      <x:c r="A10" s="25" t="str">
        <x:v>Bear</x:v>
      </x:c>
      <x:c r="B10" s="25" t="n">
        <x:v>3</x:v>
      </x:c>
      <x:c r="C10" s="25" t="n">
        <x:v>25</x:v>
      </x:c>
      <x:c r="D10" s="25" t="n">
        <x:v>10</x:v>
      </x:c>
      <x:c r="E10" s="25" t="n">
        <x:v>40</x:v>
      </x:c>
      <x:c r="F10" s="25" t="n">
        <x:v>90</x:v>
      </x:c>
      <x:c r="G10" s="25" t="n">
        <x:v>120</x:v>
      </x:c>
    </x:row>
    <x:row r="11">
      <x:c r="A11" s="25" t="str">
        <x:v>Bear</x:v>
      </x:c>
      <x:c r="B11" s="25" t="n">
        <x:v>4</x:v>
      </x:c>
      <x:c r="C11" s="25" t="n">
        <x:v>29</x:v>
      </x:c>
      <x:c r="D11" s="25" t="n">
        <x:v>10</x:v>
      </x:c>
      <x:c r="E11" s="25" t="n">
        <x:v>40</x:v>
      </x:c>
      <x:c r="F11" s="25" t="n">
        <x:v>90</x:v>
      </x:c>
      <x:c r="G11" s="25" t="n">
        <x:v>120</x:v>
      </x:c>
    </x:row>
    <x:row r="12">
      <x:c r="A12" s="25" t="str">
        <x:v>Penguin</x:v>
      </x:c>
      <x:c r="B12" s="25" t="n">
        <x:v>0</x:v>
      </x:c>
      <x:c r="C12" s="25" t="n">
        <x:v>31</x:v>
      </x:c>
      <x:c r="D12" s="25" t="n">
        <x:v>10</x:v>
      </x:c>
      <x:c r="E12" s="25" t="n">
        <x:v>40</x:v>
      </x:c>
      <x:c r="F12" s="25" t="n">
        <x:v>90</x:v>
      </x:c>
      <x:c r="G12" s="25" t="n">
        <x:v>120</x:v>
      </x:c>
    </x:row>
    <x:row r="13">
      <x:c r="A13" s="25" t="str">
        <x:v>Penguin</x:v>
      </x:c>
      <x:c r="B13" s="25" t="n">
        <x:v>1</x:v>
      </x:c>
      <x:c r="C13" s="25" t="n">
        <x:v>34</x:v>
      </x:c>
      <x:c r="D13" s="25" t="n">
        <x:v>10</x:v>
      </x:c>
      <x:c r="E13" s="25" t="n">
        <x:v>40</x:v>
      </x:c>
      <x:c r="F13" s="25" t="n">
        <x:v>90</x:v>
      </x:c>
      <x:c r="G13" s="25" t="n">
        <x:v>120</x:v>
      </x:c>
    </x:row>
    <x:row r="14">
      <x:c r="A14" s="25" t="str">
        <x:v>Penguin</x:v>
      </x:c>
      <x:c r="B14" s="25" t="n">
        <x:v>2</x:v>
      </x:c>
      <x:c r="C14" s="25" t="n">
        <x:v>37</x:v>
      </x:c>
      <x:c r="D14" s="25" t="n">
        <x:v>10</x:v>
      </x:c>
      <x:c r="E14" s="25" t="n">
        <x:v>40</x:v>
      </x:c>
      <x:c r="F14" s="25" t="n">
        <x:v>90</x:v>
      </x:c>
      <x:c r="G14" s="25" t="n">
        <x:v>120</x:v>
      </x:c>
    </x:row>
    <x:row r="15">
      <x:c r="A15" s="25" t="str">
        <x:v>Penguin</x:v>
      </x:c>
      <x:c r="B15" s="25" t="n">
        <x:v>3</x:v>
      </x:c>
      <x:c r="C15" s="25" t="n">
        <x:v>40</x:v>
      </x:c>
      <x:c r="D15" s="25" t="n">
        <x:v>10</x:v>
      </x:c>
      <x:c r="E15" s="25" t="n">
        <x:v>40</x:v>
      </x:c>
      <x:c r="F15" s="25" t="n">
        <x:v>90</x:v>
      </x:c>
      <x:c r="G15" s="25" t="n">
        <x:v>120</x:v>
      </x:c>
    </x:row>
    <x:row r="16">
      <x:c r="A16" s="25" t="str">
        <x:v>Penguin</x:v>
      </x:c>
      <x:c r="B16" s="25" t="n">
        <x:v>4</x:v>
      </x:c>
      <x:c r="C16" s="25" t="n">
        <x:v>43</x:v>
      </x:c>
      <x:c r="D16" s="25" t="n">
        <x:v>10</x:v>
      </x:c>
      <x:c r="E16" s="25" t="n">
        <x:v>40</x:v>
      </x:c>
      <x:c r="F16" s="25" t="n">
        <x:v>90</x:v>
      </x:c>
      <x:c r="G16" s="25" t="n">
        <x:v>120</x:v>
      </x:c>
    </x:row>
    <x:row r="17">
      <x:c r="A17" s="25" t="str">
        <x:v>Crow</x:v>
      </x:c>
      <x:c r="B17" s="25" t="n">
        <x:v>0</x:v>
      </x:c>
      <x:c r="C17" s="25" t="n">
        <x:v>46</x:v>
      </x:c>
      <x:c r="D17" s="25" t="n">
        <x:v>10</x:v>
      </x:c>
      <x:c r="E17" s="25" t="n">
        <x:v>40</x:v>
      </x:c>
      <x:c r="F17" s="25" t="n">
        <x:v>90</x:v>
      </x:c>
      <x:c r="G17" s="25" t="n">
        <x:v>120</x:v>
      </x:c>
    </x:row>
    <x:row r="18">
      <x:c r="A18" s="25" t="str">
        <x:v>Crow</x:v>
      </x:c>
      <x:c r="B18" s="25" t="n">
        <x:v>1</x:v>
      </x:c>
      <x:c r="C18" s="25" t="n">
        <x:v>49</x:v>
      </x:c>
      <x:c r="D18" s="25" t="n">
        <x:v>10</x:v>
      </x:c>
      <x:c r="E18" s="25" t="n">
        <x:v>40</x:v>
      </x:c>
      <x:c r="F18" s="25" t="n">
        <x:v>90</x:v>
      </x:c>
      <x:c r="G18" s="25" t="n">
        <x:v>120</x:v>
      </x:c>
    </x:row>
    <x:row r="19">
      <x:c r="A19" s="25" t="str">
        <x:v>Crow</x:v>
      </x:c>
      <x:c r="B19" s="25" t="n">
        <x:v>2</x:v>
      </x:c>
      <x:c r="C19" s="25" t="n">
        <x:v>53</x:v>
      </x:c>
      <x:c r="D19" s="25" t="n">
        <x:v>10</x:v>
      </x:c>
      <x:c r="E19" s="25" t="n">
        <x:v>40</x:v>
      </x:c>
      <x:c r="F19" s="25" t="n">
        <x:v>90</x:v>
      </x:c>
      <x:c r="G19" s="25" t="n">
        <x:v>120</x:v>
      </x:c>
    </x:row>
    <x:row r="20">
      <x:c r="A20" s="25" t="str">
        <x:v>Crow</x:v>
      </x:c>
      <x:c r="B20" s="25" t="n">
        <x:v>3</x:v>
      </x:c>
      <x:c r="C20" s="25" t="n">
        <x:v>56</x:v>
      </x:c>
      <x:c r="D20" s="25" t="n">
        <x:v>10</x:v>
      </x:c>
      <x:c r="E20" s="25" t="n">
        <x:v>40</x:v>
      </x:c>
      <x:c r="F20" s="25" t="n">
        <x:v>90</x:v>
      </x:c>
      <x:c r="G20" s="25" t="n">
        <x:v>120</x:v>
      </x:c>
    </x:row>
    <x:row r="21">
      <x:c r="A21" s="25" t="str">
        <x:v>Crow</x:v>
      </x:c>
      <x:c r="B21" s="25" t="n">
        <x:v>4</x:v>
      </x:c>
      <x:c r="C21" s="25" t="n">
        <x:v>58</x:v>
      </x:c>
      <x:c r="D21" s="25" t="n">
        <x:v>10</x:v>
      </x:c>
      <x:c r="E21" s="25" t="n">
        <x:v>40</x:v>
      </x:c>
      <x:c r="F21" s="25" t="n">
        <x:v>90</x:v>
      </x:c>
      <x:c r="G21" s="25" t="n">
        <x:v>120</x:v>
      </x:c>
    </x:row>
    <x:row r="23">
      <x:c r="A23" s="25" t="str">
        <x:v>Sequential upgrades; each previous tier must reach level 10. Tier I maxes at pet 40; Tier II maxes at 90. Tier III max level 120 is an editable balance default. Skills sheet preserves the previous design and supplies effect templates.</x:v>
      </x:c>
      <x:c r="B23" s="25"/>
      <x:c r="C23" s="25"/>
      <x:c r="D23" s="25"/>
      <x:c r="E23" s="25"/>
      <x:c r="F23" s="25"/>
      <x:c r="G23" s="25"/>
    </x:row>
    <x:row r="24">
      <x:c r="A24" s="25"/>
      <x:c r="B24" s="25"/>
      <x:c r="C24" s="25"/>
      <x:c r="D24" s="25"/>
      <x:c r="E24" s="25"/>
      <x:c r="F24" s="25"/>
      <x:c r="G24" s="25"/>
    </x:row>
    <x:row r="25">
      <x:c r="A25" s="25"/>
      <x:c r="B25" s="25"/>
      <x:c r="C25" s="25"/>
      <x:c r="D25" s="25"/>
      <x:c r="E25" s="25"/>
      <x:c r="F25" s="25"/>
      <x:c r="G25" s="25"/>
    </x:row>
  </x:sheetData>
  <x:mergeCells>
    <x:mergeCell ref="A23:G25"/>
  </x:mergeCells>
  <x:pageMargins left="0.7" right="0.7" top="0.75" bottom="0.75" header="0.3" footer="0.3"/>
</x:worksheet>
</file>

<file path=xl/worksheets/sheet10.xml><?xml version="1.0" encoding="utf-8"?>
<x:worksheet xmlns:x="http://schemas.openxmlformats.org/spreadsheetml/2006/main">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19" hidden="0" customWidth="1"/>
    <x:col min="7" max="7" width="19" hidden="0" customWidth="1"/>
  </x:cols>
  <x:sheetData>
    <x:row r="1" ht="36" customHeight="1">
      <x:c r="A1" s="31" t="str">
        <x:v>Pet</x:v>
      </x:c>
      <x:c r="B1" s="31" t="str">
        <x:v>HP %</x:v>
      </x:c>
      <x:c r="C1" s="31" t="str">
        <x:v>Physical attack %</x:v>
      </x:c>
      <x:c r="D1" s="31" t="str">
        <x:v>Magic attack %</x:v>
      </x:c>
      <x:c r="E1" s="31" t="str">
        <x:v>Physical defense %</x:v>
      </x:c>
      <x:c r="F1" s="31" t="str">
        <x:v>Magic defense %</x:v>
      </x:c>
      <x:c r="G1" s="31" t="str">
        <x:v>Magic primary</x:v>
      </x:c>
    </x:row>
    <x:row r="2">
      <x:c r="A2" s="25" t="str">
        <x:v>Wolf</x:v>
      </x:c>
      <x:c r="B2" s="25" t="n">
        <x:v>100</x:v>
      </x:c>
      <x:c r="C2" s="25" t="n">
        <x:v>130</x:v>
      </x:c>
      <x:c r="D2" s="25" t="n">
        <x:v>25</x:v>
      </x:c>
      <x:c r="E2" s="25" t="n">
        <x:v>100</x:v>
      </x:c>
      <x:c r="F2" s="25" t="n">
        <x:v>85</x:v>
      </x:c>
      <x:c r="G2" s="25" t="n">
        <x:v>0</x:v>
      </x:c>
    </x:row>
    <x:row r="3">
      <x:c r="A3" s="25" t="str">
        <x:v>Bear</x:v>
      </x:c>
      <x:c r="B3" s="25" t="n">
        <x:v>220</x:v>
      </x:c>
      <x:c r="C3" s="25" t="n">
        <x:v>65</x:v>
      </x:c>
      <x:c r="D3" s="25" t="n">
        <x:v>20</x:v>
      </x:c>
      <x:c r="E3" s="25" t="n">
        <x:v>180</x:v>
      </x:c>
      <x:c r="F3" s="25" t="n">
        <x:v>145</x:v>
      </x:c>
      <x:c r="G3" s="25" t="n">
        <x:v>0</x:v>
      </x:c>
    </x:row>
    <x:row r="4">
      <x:c r="A4" s="25" t="str">
        <x:v>Penguin</x:v>
      </x:c>
      <x:c r="B4" s="25" t="n">
        <x:v>70</x:v>
      </x:c>
      <x:c r="C4" s="25" t="n">
        <x:v>35</x:v>
      </x:c>
      <x:c r="D4" s="25" t="n">
        <x:v>160</x:v>
      </x:c>
      <x:c r="E4" s="25" t="n">
        <x:v>70</x:v>
      </x:c>
      <x:c r="F4" s="25" t="n">
        <x:v>120</x:v>
      </x:c>
      <x:c r="G4" s="25" t="n">
        <x:v>1</x:v>
      </x:c>
    </x:row>
    <x:row r="5">
      <x:c r="A5" s="25" t="str">
        <x:v>Crow</x:v>
      </x:c>
      <x:c r="B5" s="25" t="n">
        <x:v>90</x:v>
      </x:c>
      <x:c r="C5" s="25" t="n">
        <x:v>55</x:v>
      </x:c>
      <x:c r="D5" s="25" t="n">
        <x:v>95</x:v>
      </x:c>
      <x:c r="E5" s="25" t="n">
        <x:v>90</x:v>
      </x:c>
      <x:c r="F5" s="25" t="n">
        <x:v>110</x:v>
      </x:c>
      <x:c r="G5" s="25" t="n">
        <x:v>0</x:v>
      </x:c>
    </x:row>
    <x:row r="7">
      <x:c r="A7" s="25" t="str">
        <x:v>Port-only balance inputs relative to each original pet level row. Gear and passive bonuses multiply these baselines. Penguin uses magical damage. HP changes preserve existing current health, clamped to the new maximum; they do not freely heal a wounded pet.</x:v>
      </x:c>
      <x:c r="B7" s="25"/>
      <x:c r="C7" s="25"/>
      <x:c r="D7" s="25"/>
      <x:c r="E7" s="25"/>
      <x:c r="F7" s="25"/>
      <x:c r="G7" s="25"/>
    </x:row>
    <x:row r="8">
      <x:c r="A8" s="25"/>
      <x:c r="B8" s="25"/>
      <x:c r="C8" s="25"/>
      <x:c r="D8" s="25"/>
      <x:c r="E8" s="25"/>
      <x:c r="F8" s="25"/>
      <x:c r="G8" s="25"/>
    </x:row>
    <x:row r="9">
      <x:c r="A9" s="25"/>
      <x:c r="B9" s="25"/>
      <x:c r="C9" s="25"/>
      <x:c r="D9" s="25"/>
      <x:c r="E9" s="25"/>
      <x:c r="F9" s="25"/>
      <x:c r="G9" s="25"/>
    </x:row>
  </x:sheetData>
  <x:mergeCells>
    <x:mergeCell ref="A7:G9"/>
  </x:mergeCells>
  <x:pageMargins left="0.7" right="0.7" top="0.75" bottom="0.75" header="0.3" footer="0.3"/>
</x:worksheet>
</file>